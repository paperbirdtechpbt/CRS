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jitSingh\source\repos\Source Code\IMS.Web\wwwroot\ExcelTemplates\"/>
    </mc:Choice>
  </mc:AlternateContent>
  <xr:revisionPtr revIDLastSave="0" documentId="13_ncr:1_{84060779-6ED1-408E-AB81-8B311DE7F2A1}" xr6:coauthVersionLast="47" xr6:coauthVersionMax="47" xr10:uidLastSave="{00000000-0000-0000-0000-000000000000}"/>
  <bookViews>
    <workbookView xWindow="-108" yWindow="-108" windowWidth="23256" windowHeight="12576" tabRatio="680" xr2:uid="{00000000-000D-0000-FFFF-FFFF00000000}"/>
  </bookViews>
  <sheets>
    <sheet name="Asset Summary" sheetId="18" r:id="rId1"/>
    <sheet name="Template" sheetId="16" r:id="rId2"/>
  </sheets>
  <definedNames>
    <definedName name="__FDS_HYPERLINK_TOGGLE_STATE__">"ON"</definedName>
    <definedName name="_Order1">255</definedName>
    <definedName name="_Order2">0</definedName>
    <definedName name="_pic1">"図 23"</definedName>
    <definedName name="AAA_DOCTOPS">"AAA_SET"</definedName>
    <definedName name="AAA_duser">"OFF"</definedName>
    <definedName name="AAB_Addin5">"AAB_Description for addin 5,Description for addin 5,Description for addin 5,Description for addin 5,Description for addin 5,Description for addin 5"</definedName>
    <definedName name="Access_Button">"ＴＰ総括表_ビルデータ_List"</definedName>
    <definedName name="AccessDatabase">"P:\Compt\ACC\Japanese\fixed asset\Sun FAM\FAM_Reporting.mdb"</definedName>
    <definedName name="AllTables">{9}</definedName>
    <definedName name="anscount">3</definedName>
    <definedName name="AS2DocOpenMode">"AS2DocumentEdit"</definedName>
    <definedName name="AS2HasNoAutoHeaderFooter">" "</definedName>
    <definedName name="AS2NamedRange">3</definedName>
    <definedName name="HTML_CodePage">932</definedName>
    <definedName name="HTML_Control">{"'法第５条第１項（新設）サンプル'!$A$5:$L$1206"}</definedName>
    <definedName name="HTML_Description">""</definedName>
    <definedName name="HTML_Email">""</definedName>
    <definedName name="HTML_Header">"法第５条第１項（新設）サンプル"</definedName>
    <definedName name="HTML_LastUpdate">"03/04/28"</definedName>
    <definedName name="HTML_LineAfter">FALSE</definedName>
    <definedName name="HTML_LineBefore">FALSE</definedName>
    <definedName name="HTML_Name">"HATA, Yumiko"</definedName>
    <definedName name="HTML_OBDlg2">FALSE</definedName>
    <definedName name="HTML_OBDlg3">FALSE</definedName>
    <definedName name="HTML_OBDlg4">FALSE</definedName>
    <definedName name="HTML_OS">0</definedName>
    <definedName name="HTML_PathFile">"http://newintra-hp/qqjbbd/newpage.htm"</definedName>
    <definedName name="HTML_PathTemplate">"http://newintra-hp/qqjbbd/METI_HP/data/ritti_todogai_5_1502.html"</definedName>
    <definedName name="HTML_Title">"ritti_todogai_5_1502"</definedName>
    <definedName name="IQ_ACCOUNT_CHANGE">"c1449"</definedName>
    <definedName name="IQ_ACCOUNTS_PAY">"c1343"</definedName>
    <definedName name="IQ_ACCR_INT_PAY">"c1"</definedName>
    <definedName name="IQ_ACCR_INT_PAY_CF">"c2"</definedName>
    <definedName name="IQ_ACCR_INT_RECEIV">"c3"</definedName>
    <definedName name="IQ_ACCR_INT_RECEIV_CF">"c4"</definedName>
    <definedName name="IQ_ACCRUED_EXP">"c1341"</definedName>
    <definedName name="IQ_ACCT_RECV_10YR_ANN_GROWTH">"c1924"</definedName>
    <definedName name="IQ_ACCT_RECV_1YR_ANN_GROWTH">"c1919"</definedName>
    <definedName name="IQ_ACCT_RECV_2YR_ANN_GROWTH">"c1920"</definedName>
    <definedName name="IQ_ACCT_RECV_3YR_ANN_GROWTH">"c1921"</definedName>
    <definedName name="IQ_ACCT_RECV_5YR_ANN_GROWTH">"c1922"</definedName>
    <definedName name="IQ_ACCT_RECV_7YR_ANN_GROWTH">"c1923"</definedName>
    <definedName name="IQ_ACCUM_DEP">"c1340"</definedName>
    <definedName name="IQ_ACCUMULATED_PENSION_OBLIGATION">"c2244"</definedName>
    <definedName name="IQ_ACCUMULATED_PENSION_OBLIGATION_DOMESTIC">"c2657"</definedName>
    <definedName name="IQ_ACCUMULATED_PENSION_OBLIGATION_FOREIGN">"c2665"</definedName>
    <definedName name="IQ_ACQ_COST_SUB">"c2125"</definedName>
    <definedName name="IQ_ACQ_COSTS_CAPITALIZED">"c5"</definedName>
    <definedName name="IQ_ACQUIRE_REAL_ESTATE_CF">"c6"</definedName>
    <definedName name="IQ_ACQUISITION_RE_ASSETS">"c1628"</definedName>
    <definedName name="IQ_AD">"c7"</definedName>
    <definedName name="IQ_ADD_PAID_IN">"c1344"</definedName>
    <definedName name="IQ_ADDIN">"AUTO"</definedName>
    <definedName name="IQ_ADJ_AVG_BANK_ASSETS">"c2671"</definedName>
    <definedName name="IQ_ADMIN_RATIO">"c2784"</definedName>
    <definedName name="IQ_ADVERTISING">"c2246"</definedName>
    <definedName name="IQ_ADVERTISING_MARKETING">"c1566"</definedName>
    <definedName name="IQ_AE">"c8"</definedName>
    <definedName name="IQ_AE_BNK">"c9"</definedName>
    <definedName name="IQ_AE_BR">"c10"</definedName>
    <definedName name="IQ_AE_FIN">"c11"</definedName>
    <definedName name="IQ_AE_INS">"c12"</definedName>
    <definedName name="IQ_AE_REIT">"c13"</definedName>
    <definedName name="IQ_AE_UTI">"c14"</definedName>
    <definedName name="IQ_AH_EARNED">"c2744"</definedName>
    <definedName name="IQ_AH_POLICY_BENEFITS_EXP">"c2789"</definedName>
    <definedName name="IQ_AIR_AIRPLANES_NOT_IN_SERVICE">"c2842"</definedName>
    <definedName name="IQ_AIR_AIRPLANES_SUBLEASED">"c2841"</definedName>
    <definedName name="IQ_AIR_ASK">"c2813"</definedName>
    <definedName name="IQ_AIR_ASK_INCREASE">"c2826"</definedName>
    <definedName name="IQ_AIR_ASM">"c2812"</definedName>
    <definedName name="IQ_AIR_ASM_INCREASE">"c2825"</definedName>
    <definedName name="IQ_AIR_AVG_AGE">"c2843"</definedName>
    <definedName name="IQ_AIR_BREAK_EVEN_FACTOR">"c2822"</definedName>
    <definedName name="IQ_AIR_CAPITAL_LEASE">"c2833"</definedName>
    <definedName name="IQ_AIR_COMPLETION_FACTOR">"c2824"</definedName>
    <definedName name="IQ_AIR_ENPLANED_PSGRS">"c2809"</definedName>
    <definedName name="IQ_AIR_FUEL_CONSUMED">"c2806"</definedName>
    <definedName name="IQ_AIR_FUEL_CONSUMED_L">"c2807"</definedName>
    <definedName name="IQ_AIR_FUEL_COST">"c2803"</definedName>
    <definedName name="IQ_AIR_FUEL_COST_L">"c2804"</definedName>
    <definedName name="IQ_AIR_FUEL_EXP">"c2802"</definedName>
    <definedName name="IQ_AIR_FUEL_EXP_PERCENT">"c2805"</definedName>
    <definedName name="IQ_AIR_LEASED">"c2835"</definedName>
    <definedName name="IQ_AIR_LOAD_FACTOR">"c2823"</definedName>
    <definedName name="IQ_AIR_NEW_AIRPLANES">"c2839"</definedName>
    <definedName name="IQ_AIR_OPER_EXP_ASK">"c2821"</definedName>
    <definedName name="IQ_AIR_OPER_EXP_ASM">"c2820"</definedName>
    <definedName name="IQ_AIR_OPER_LEASE">"c2834"</definedName>
    <definedName name="IQ_AIR_OPER_REV_YIELD_ASK">"c2819"</definedName>
    <definedName name="IQ_AIR_OPER_REV_YIELD_ASM">"c2818"</definedName>
    <definedName name="IQ_AIR_OPTIONS">"c2837"</definedName>
    <definedName name="IQ_AIR_ORDERS">"c2836"</definedName>
    <definedName name="IQ_AIR_OWNED">"c2832"</definedName>
    <definedName name="IQ_AIR_PSGR_REV_YIELD_ASK">"c2817"</definedName>
    <definedName name="IQ_AIR_PSGR_REV_YIELD_ASM">"c2816"</definedName>
    <definedName name="IQ_AIR_PSGR_REV_YIELD_RPK">"c2815"</definedName>
    <definedName name="IQ_AIR_PSGR_REV_YIELD_RPM">"c2814"</definedName>
    <definedName name="IQ_AIR_PURCHASE_RIGHTS">"c2838"</definedName>
    <definedName name="IQ_AIR_RETIRED_AIRPLANES">"c2840"</definedName>
    <definedName name="IQ_AIR_REV_PSGRS_CARRIED">"c2808"</definedName>
    <definedName name="IQ_AIR_REV_SCHEDULED_SERVICE">"c2830"</definedName>
    <definedName name="IQ_AIR_RPK">"c2811"</definedName>
    <definedName name="IQ_AIR_RPM">"c2810"</definedName>
    <definedName name="IQ_AIR_STAGE_LENGTH">"c2828"</definedName>
    <definedName name="IQ_AIR_STAGE_LENGTH_KM">"c2829"</definedName>
    <definedName name="IQ_AIR_TOTAL">"c2831"</definedName>
    <definedName name="IQ_AIR_UTILIZATION">"c2827"</definedName>
    <definedName name="IQ_ALLOW_BORROW_CONST">"c15"</definedName>
    <definedName name="IQ_ALLOW_CONST">"c1342"</definedName>
    <definedName name="IQ_ALLOW_DOUBT_ACCT">"c2092"</definedName>
    <definedName name="IQ_ALLOW_EQUITY_CONST">"c16"</definedName>
    <definedName name="IQ_ALLOW_LL">"c17"</definedName>
    <definedName name="IQ_ALLOWANCE_10YR_ANN_GROWTH">"c18"</definedName>
    <definedName name="IQ_ALLOWANCE_1YR_ANN_GROWTH">"c19"</definedName>
    <definedName name="IQ_ALLOWANCE_2YR_ANN_GROWTH">"c20"</definedName>
    <definedName name="IQ_ALLOWANCE_3YR_ANN_GROWTH">"c21"</definedName>
    <definedName name="IQ_ALLOWANCE_5YR_ANN_GROWTH">"c22"</definedName>
    <definedName name="IQ_ALLOWANCE_7YR_ANN_GROWTH">"c23"</definedName>
    <definedName name="IQ_ALLOWANCE_CHARGE_OFFS">"c24"</definedName>
    <definedName name="IQ_ALLOWANCE_NON_PERF_LOANS">"c25"</definedName>
    <definedName name="IQ_ALLOWANCE_TOTAL_LOANS">"c26"</definedName>
    <definedName name="IQ_AMORTIZATION">"c1591"</definedName>
    <definedName name="IQ_AMT_OUT">"c2145"</definedName>
    <definedName name="IQ_ANNU_DISTRIBUTION_UNIT">"c3004"</definedName>
    <definedName name="IQ_ANNUALIZED_DIVIDEND">"c1579"</definedName>
    <definedName name="IQ_ANNUITY_LIAB">"c27"</definedName>
    <definedName name="IQ_ANNUITY_PAY">"c28"</definedName>
    <definedName name="IQ_ANNUITY_POLICY_EXP">"c29"</definedName>
    <definedName name="IQ_ANNUITY_REC">"c30"</definedName>
    <definedName name="IQ_ANNUITY_REV">"c31"</definedName>
    <definedName name="IQ_AP">"c32"</definedName>
    <definedName name="IQ_AP_BNK">"c33"</definedName>
    <definedName name="IQ_AP_BR">"c34"</definedName>
    <definedName name="IQ_AP_FIN">"c35"</definedName>
    <definedName name="IQ_AP_INS">"c36"</definedName>
    <definedName name="IQ_AP_REIT">"c37"</definedName>
    <definedName name="IQ_AP_UTI">"c38"</definedName>
    <definedName name="IQ_APIC">"c39"</definedName>
    <definedName name="IQ_AR">"c40"</definedName>
    <definedName name="IQ_AR_BR">"c41"</definedName>
    <definedName name="IQ_AR_LT">"c42"</definedName>
    <definedName name="IQ_AR_REIT">"c43"</definedName>
    <definedName name="IQ_AR_TURNS">"c44"</definedName>
    <definedName name="IQ_AR_UTI">"c45"</definedName>
    <definedName name="IQ_ARPU">"c2126"</definedName>
    <definedName name="IQ_ASSET_MGMT_FEE">"c46"</definedName>
    <definedName name="IQ_ASSET_TURNS">"c47"</definedName>
    <definedName name="IQ_ASSET_WRITEDOWN">"c48"</definedName>
    <definedName name="IQ_ASSET_WRITEDOWN_BNK">"c49"</definedName>
    <definedName name="IQ_ASSET_WRITEDOWN_BR">"c50"</definedName>
    <definedName name="IQ_ASSET_WRITEDOWN_CF">"c51"</definedName>
    <definedName name="IQ_ASSET_WRITEDOWN_CF_BNK">"c52"</definedName>
    <definedName name="IQ_ASSET_WRITEDOWN_CF_BR">"c53"</definedName>
    <definedName name="IQ_ASSET_WRITEDOWN_CF_FIN">"c54"</definedName>
    <definedName name="IQ_ASSET_WRITEDOWN_CF_INS">"c55"</definedName>
    <definedName name="IQ_ASSET_WRITEDOWN_CF_REIT">"c56"</definedName>
    <definedName name="IQ_ASSET_WRITEDOWN_CF_UTI">"c57"</definedName>
    <definedName name="IQ_ASSET_WRITEDOWN_FIN">"c58"</definedName>
    <definedName name="IQ_ASSET_WRITEDOWN_INS">"c59"</definedName>
    <definedName name="IQ_ASSET_WRITEDOWN_REIT">"c60"</definedName>
    <definedName name="IQ_ASSET_WRITEDOWN_UTI">"c61"</definedName>
    <definedName name="IQ_ASSETS_CAP_LEASE_DEPR">"c2068"</definedName>
    <definedName name="IQ_ASSETS_CAP_LEASE_GROSS">"c2069"</definedName>
    <definedName name="IQ_ASSETS_OPER_LEASE_DEPR">"c2070"</definedName>
    <definedName name="IQ_ASSETS_OPER_LEASE_GROSS">"c2071"</definedName>
    <definedName name="IQ_ASSUMED_AH_EARNED">"c2741"</definedName>
    <definedName name="IQ_ASSUMED_EARNED">"c2731"</definedName>
    <definedName name="IQ_ASSUMED_LIFE_EARNED">"c2736"</definedName>
    <definedName name="IQ_ASSUMED_LIFE_IN_FORCE">"c2766"</definedName>
    <definedName name="IQ_ASSUMED_PC_EARNED">"c2746"</definedName>
    <definedName name="IQ_ASSUMED_WRITTEN">"c2725"</definedName>
    <definedName name="IQ_AUDITOR_NAME">"c1539"</definedName>
    <definedName name="IQ_AUDITOR_OPINION">"c1540"</definedName>
    <definedName name="IQ_AUTO_WRITTEN">"c62"</definedName>
    <definedName name="IQ_AVG_BANK_ASSETS">"c2072"</definedName>
    <definedName name="IQ_AVG_BANK_LOANS">"c2073"</definedName>
    <definedName name="IQ_AVG_BROKER_REC">"c63"</definedName>
    <definedName name="IQ_AVG_BROKER_REC_NO">"c64"</definedName>
    <definedName name="IQ_AVG_DAILY_VOL">"c65"</definedName>
    <definedName name="IQ_AVG_INT_BEAR_LIAB">"c66"</definedName>
    <definedName name="IQ_AVG_INT_BEAR_LIAB_10YR_ANN_GROWTH">"c67"</definedName>
    <definedName name="IQ_AVG_INT_BEAR_LIAB_1YR_ANN_GROWTH">"c68"</definedName>
    <definedName name="IQ_AVG_INT_BEAR_LIAB_2YR_ANN_GROWTH">"c69"</definedName>
    <definedName name="IQ_AVG_INT_BEAR_LIAB_3YR_ANN_GROWTH">"c70"</definedName>
    <definedName name="IQ_AVG_INT_BEAR_LIAB_5YR_ANN_GROWTH">"c71"</definedName>
    <definedName name="IQ_AVG_INT_BEAR_LIAB_7YR_ANN_GROWTH">"c72"</definedName>
    <definedName name="IQ_AVG_INT_EARN_ASSETS">"c73"</definedName>
    <definedName name="IQ_AVG_INT_EARN_ASSETS_10YR_ANN_GROWTH">"c74"</definedName>
    <definedName name="IQ_AVG_INT_EARN_ASSETS_1YR_ANN_GROWTH">"c75"</definedName>
    <definedName name="IQ_AVG_INT_EARN_ASSETS_2YR_ANN_GROWTH">"c76"</definedName>
    <definedName name="IQ_AVG_INT_EARN_ASSETS_3YR_ANN_GROWTH">"c77"</definedName>
    <definedName name="IQ_AVG_INT_EARN_ASSETS_5YR_ANN_GROWTH">"c78"</definedName>
    <definedName name="IQ_AVG_INT_EARN_ASSETS_7YR_ANN_GROWTH">"c79"</definedName>
    <definedName name="IQ_AVG_MKTCAP">"c80"</definedName>
    <definedName name="IQ_AVG_PRICE">"c81"</definedName>
    <definedName name="IQ_AVG_SHAREOUTSTANDING">"c83"</definedName>
    <definedName name="IQ_AVG_TEV">"c84"</definedName>
    <definedName name="IQ_AVG_VOLUME">"c1346"</definedName>
    <definedName name="IQ_BANK_DEBT">"c2544"</definedName>
    <definedName name="IQ_BANK_DEBT_PCT">"c2545"</definedName>
    <definedName name="IQ_BASIC_EPS_EXCL">"c85"</definedName>
    <definedName name="IQ_BASIC_EPS_INCL">"c86"</definedName>
    <definedName name="IQ_BASIC_NORMAL_EPS">"c1592"</definedName>
    <definedName name="IQ_BASIC_WEIGHT">"c87"</definedName>
    <definedName name="IQ_BENCHMARK_SECURITY">"c2154"</definedName>
    <definedName name="IQ_BENCHMARK_SPRD">"c2153"</definedName>
    <definedName name="IQ_BETA">"c2133"</definedName>
    <definedName name="IQ_BETA_1YR">"c1966"</definedName>
    <definedName name="IQ_BETA_1YR_RSQ">"c2132"</definedName>
    <definedName name="IQ_BETA_2YR">"c1965"</definedName>
    <definedName name="IQ_BETA_2YR_RSQ">"c2131"</definedName>
    <definedName name="IQ_BETA_5YR">"c88"</definedName>
    <definedName name="IQ_BETA_5YR_RSQ">"c2130"</definedName>
    <definedName name="IQ_BIG_INT_BEAR_CD">"c89"</definedName>
    <definedName name="IQ_BOARD_MEMBER">"c96"</definedName>
    <definedName name="IQ_BOARD_MEMBER_BACKGROUND">"c2101"</definedName>
    <definedName name="IQ_BOARD_MEMBER_TITLE">"c97"</definedName>
    <definedName name="IQ_BOND_COUPON">"c2183"</definedName>
    <definedName name="IQ_BOND_COUPON_TYPE">"c2184"</definedName>
    <definedName name="IQ_BOND_PRICE">"c2162"</definedName>
    <definedName name="IQ_BROK_COMISSION">"c98"</definedName>
    <definedName name="IQ_BUILDINGS">"c99"</definedName>
    <definedName name="IQ_BUSINESS_DESCRIPTION">"c322"</definedName>
    <definedName name="IQ_BV_OVER_SHARES">"c1349"</definedName>
    <definedName name="IQ_BV_SHARE">"c100"</definedName>
    <definedName name="IQ_CABLE_ARPU">"c2869"</definedName>
    <definedName name="IQ_CABLE_ARPU_ANALOG">"c2864"</definedName>
    <definedName name="IQ_CABLE_ARPU_BASIC">"c2866"</definedName>
    <definedName name="IQ_CABLE_ARPU_BBAND">"c2867"</definedName>
    <definedName name="IQ_CABLE_ARPU_DIG">"c2865"</definedName>
    <definedName name="IQ_CABLE_ARPU_PHONE">"c2868"</definedName>
    <definedName name="IQ_CABLE_BASIC_PENETRATION">"c2850"</definedName>
    <definedName name="IQ_CABLE_BBAND_PENETRATION">"c2852"</definedName>
    <definedName name="IQ_CABLE_BBAND_PENETRATION_THP">"c2851"</definedName>
    <definedName name="IQ_CABLE_CHURN">"c2874"</definedName>
    <definedName name="IQ_CABLE_CHURN_BASIC">"c2871"</definedName>
    <definedName name="IQ_CABLE_CHURN_BBAND">"c2872"</definedName>
    <definedName name="IQ_CABLE_CHURN_DIG">"c2870"</definedName>
    <definedName name="IQ_CABLE_CHURN_PHONE">"c2873"</definedName>
    <definedName name="IQ_CABLE_HOMES_PER_MILE">"c2849"</definedName>
    <definedName name="IQ_CABLE_HP_BBAND">"c2845"</definedName>
    <definedName name="IQ_CABLE_HP_DIG">"c2844"</definedName>
    <definedName name="IQ_CABLE_HP_PHONE">"c2846"</definedName>
    <definedName name="IQ_CABLE_MILES_PASSED">"c2848"</definedName>
    <definedName name="IQ_CABLE_OTHER_REV">"c2882"</definedName>
    <definedName name="IQ_CABLE_PHONE_PENETRATION">"c2853"</definedName>
    <definedName name="IQ_CABLE_PROGRAMMING_COSTS">"c2884"</definedName>
    <definedName name="IQ_CABLE_REV_ADVERT">"c2880"</definedName>
    <definedName name="IQ_CABLE_REV_ANALOG">"c2875"</definedName>
    <definedName name="IQ_CABLE_REV_BASIC">"c2877"</definedName>
    <definedName name="IQ_CABLE_REV_BBAND">"c2878"</definedName>
    <definedName name="IQ_CABLE_REV_COMMERCIAL">"c2881"</definedName>
    <definedName name="IQ_CABLE_REV_DIG">"c2876"</definedName>
    <definedName name="IQ_CABLE_REV_PHONE">"c2879"</definedName>
    <definedName name="IQ_CABLE_RGU">"c2863"</definedName>
    <definedName name="IQ_CABLE_SUBS_ANALOG">"c2855"</definedName>
    <definedName name="IQ_CABLE_SUBS_BASIC">"c2857"</definedName>
    <definedName name="IQ_CABLE_SUBS_BBAND">"c2858"</definedName>
    <definedName name="IQ_CABLE_SUBS_BUNDLED">"c2861"</definedName>
    <definedName name="IQ_CABLE_SUBS_DIG">"c2856"</definedName>
    <definedName name="IQ_CABLE_SUBS_NON_VIDEO">"c2860"</definedName>
    <definedName name="IQ_CABLE_SUBS_PHONE">"c2859"</definedName>
    <definedName name="IQ_CABLE_SUBS_TOTAL">"c2862"</definedName>
    <definedName name="IQ_CABLE_THP">"c2847"</definedName>
    <definedName name="IQ_CABLE_TOTAL_PENETRATION">"c2854"</definedName>
    <definedName name="IQ_CABLE_TOTAL_REV">"c2883"</definedName>
    <definedName name="IQ_CAL_Q">"c101"</definedName>
    <definedName name="IQ_CAL_Y">"c102"</definedName>
    <definedName name="IQ_CALC_TYPE_BS">"c3086"</definedName>
    <definedName name="IQ_CALC_TYPE_CF">"c3085"</definedName>
    <definedName name="IQ_CALC_TYPE_IS">"c3084"</definedName>
    <definedName name="IQ_CALL_DATE_SCHEDULE">"c2481"</definedName>
    <definedName name="IQ_CALL_FEATURE">"c2197"</definedName>
    <definedName name="IQ_CALL_PRICE_SCHEDULE">"c2482"</definedName>
    <definedName name="IQ_CALLABLE">"c2196"</definedName>
    <definedName name="IQ_CAP_LOSS_CF_1YR">"c3474"</definedName>
    <definedName name="IQ_CAP_LOSS_CF_2YR">"c3475"</definedName>
    <definedName name="IQ_CAP_LOSS_CF_3YR">"c3476"</definedName>
    <definedName name="IQ_CAP_LOSS_CF_4YR">"c3477"</definedName>
    <definedName name="IQ_CAP_LOSS_CF_5YR">"c3478"</definedName>
    <definedName name="IQ_CAP_LOSS_CF_AFTER_FIVE">"c3479"</definedName>
    <definedName name="IQ_CAP_LOSS_CF_MAX_YEAR">"c3482"</definedName>
    <definedName name="IQ_CAP_LOSS_CF_NO_EXP">"c3480"</definedName>
    <definedName name="IQ_CAP_LOSS_CF_TOTAL">"c3481"</definedName>
    <definedName name="IQ_CAPEX">"c103"</definedName>
    <definedName name="IQ_CAPEX_10YR_ANN_GROWTH">"c104"</definedName>
    <definedName name="IQ_CAPEX_1YR_ANN_GROWTH">"c105"</definedName>
    <definedName name="IQ_CAPEX_2YR_ANN_GROWTH">"c106"</definedName>
    <definedName name="IQ_CAPEX_3YR_ANN_GROWTH">"c107"</definedName>
    <definedName name="IQ_CAPEX_5YR_ANN_GROWTH">"c108"</definedName>
    <definedName name="IQ_CAPEX_7YR_ANN_GROWTH">"c109"</definedName>
    <definedName name="IQ_CAPEX_BNK">"c110"</definedName>
    <definedName name="IQ_CAPEX_BR">"c111"</definedName>
    <definedName name="IQ_CAPEX_FIN">"c112"</definedName>
    <definedName name="IQ_CAPEX_INS">"c113"</definedName>
    <definedName name="IQ_CAPEX_UTI">"c114"</definedName>
    <definedName name="IQ_CAPITAL_LEASE">"c1350"</definedName>
    <definedName name="IQ_CAPITAL_LEASES">"c115"</definedName>
    <definedName name="IQ_CAPITAL_LEASES_TOTAL">"c3031"</definedName>
    <definedName name="IQ_CAPITAL_LEASES_TOTAL_PCT">"c2506"</definedName>
    <definedName name="IQ_CAPITALIZED_INTEREST">"c3460"</definedName>
    <definedName name="IQ_CAPITALIZED_INTEREST_BOP">"c3459"</definedName>
    <definedName name="IQ_CAPITALIZED_INTEREST_EOP">"c3464"</definedName>
    <definedName name="IQ_CAPITALIZED_INTEREST_EXP">"c3461"</definedName>
    <definedName name="IQ_CAPITALIZED_INTEREST_OTHER_ADJ">"c3463"</definedName>
    <definedName name="IQ_CAPITALIZED_INTEREST_WRITE_OFF">"c3462"</definedName>
    <definedName name="IQ_CASH">"c1458"</definedName>
    <definedName name="IQ_CASH_ACQUIRE_CF">"c116"</definedName>
    <definedName name="IQ_CASH_CONVERSION">"c117"</definedName>
    <definedName name="IQ_CASH_DUE_BANKS">"c1351"</definedName>
    <definedName name="IQ_CASH_EQUIV">"c118"</definedName>
    <definedName name="IQ_CASH_FINAN">"c119"</definedName>
    <definedName name="IQ_CASH_INTEREST">"c120"</definedName>
    <definedName name="IQ_CASH_INVEST">"c121"</definedName>
    <definedName name="IQ_CASH_OPER">"c122"</definedName>
    <definedName name="IQ_CASH_SEGREG">"c123"</definedName>
    <definedName name="IQ_CASH_SHARE">"c1911"</definedName>
    <definedName name="IQ_CASH_ST">"c1355"</definedName>
    <definedName name="IQ_CASH_ST_INVEST">"c124"</definedName>
    <definedName name="IQ_CASH_TAXES">"c125"</definedName>
    <definedName name="IQ_CEDED_AH_EARNED">"c2743"</definedName>
    <definedName name="IQ_CEDED_CLAIM_EXP_INCUR">"c2756"</definedName>
    <definedName name="IQ_CEDED_CLAIM_EXP_PAID">"c2759"</definedName>
    <definedName name="IQ_CEDED_CLAIM_EXP_RES">"c2753"</definedName>
    <definedName name="IQ_CEDED_EARNED">"c2733"</definedName>
    <definedName name="IQ_CEDED_LIFE_EARNED">"c2738"</definedName>
    <definedName name="IQ_CEDED_LIFE_IN_FORCE">"c2768"</definedName>
    <definedName name="IQ_CEDED_PC_EARNED">"c2748"</definedName>
    <definedName name="IQ_CEDED_WRITTEN">"c2727"</definedName>
    <definedName name="IQ_CFO_10YR_ANN_GROWTH">"c126"</definedName>
    <definedName name="IQ_CFO_1YR_ANN_GROWTH">"c127"</definedName>
    <definedName name="IQ_CFO_2YR_ANN_GROWTH">"c128"</definedName>
    <definedName name="IQ_CFO_3YR_ANN_GROWTH">"c129"</definedName>
    <definedName name="IQ_CFO_5YR_ANN_GROWTH">"c130"</definedName>
    <definedName name="IQ_CFO_7YR_ANN_GROWTH">"c131"</definedName>
    <definedName name="IQ_CFO_CURRENT_LIAB">"c132"</definedName>
    <definedName name="IQ_CH">110000</definedName>
    <definedName name="IQ_CHANGE_AP">"c133"</definedName>
    <definedName name="IQ_CHANGE_AP_BNK">"c134"</definedName>
    <definedName name="IQ_CHANGE_AP_BR">"c135"</definedName>
    <definedName name="IQ_CHANGE_AP_FIN">"c136"</definedName>
    <definedName name="IQ_CHANGE_AP_INS">"c137"</definedName>
    <definedName name="IQ_CHANGE_AP_REIT">"c138"</definedName>
    <definedName name="IQ_CHANGE_AP_UTI">"c139"</definedName>
    <definedName name="IQ_CHANGE_AR">"c140"</definedName>
    <definedName name="IQ_CHANGE_AR_BNK">"c141"</definedName>
    <definedName name="IQ_CHANGE_AR_BR">"c142"</definedName>
    <definedName name="IQ_CHANGE_AR_FIN">"c143"</definedName>
    <definedName name="IQ_CHANGE_AR_INS">"c144"</definedName>
    <definedName name="IQ_CHANGE_AR_REIT">"c145"</definedName>
    <definedName name="IQ_CHANGE_AR_UTI">"c146"</definedName>
    <definedName name="IQ_CHANGE_DEF_TAX">"c147"</definedName>
    <definedName name="IQ_CHANGE_DEPOSIT_ACCT">"c148"</definedName>
    <definedName name="IQ_CHANGE_INC_TAX">"c149"</definedName>
    <definedName name="IQ_CHANGE_INS_RES_LIAB">"c150"</definedName>
    <definedName name="IQ_CHANGE_INVENTORY">"c151"</definedName>
    <definedName name="IQ_CHANGE_NET_OPER_ASSETS">"c3592"</definedName>
    <definedName name="IQ_CHANGE_NET_WORKING_CAPITAL">"c1909"</definedName>
    <definedName name="IQ_CHANGE_OTHER_NET_OPER_ASSETS">"c3593"</definedName>
    <definedName name="IQ_CHANGE_OTHER_NET_OPER_ASSETS_BNK">"c3594"</definedName>
    <definedName name="IQ_CHANGE_OTHER_NET_OPER_ASSETS_BR">"c3595"</definedName>
    <definedName name="IQ_CHANGE_OTHER_NET_OPER_ASSETS_FIN">"c3596"</definedName>
    <definedName name="IQ_CHANGE_OTHER_NET_OPER_ASSETS_INS">"c3597"</definedName>
    <definedName name="IQ_CHANGE_OTHER_NET_OPER_ASSETS_REIT">"c3598"</definedName>
    <definedName name="IQ_CHANGE_OTHER_NET_OPER_ASSETS_UTI">"c3599"</definedName>
    <definedName name="IQ_CHANGE_OTHER_WORK_CAP">"c152"</definedName>
    <definedName name="IQ_CHANGE_OTHER_WORK_CAP_BNK">"c153"</definedName>
    <definedName name="IQ_CHANGE_OTHER_WORK_CAP_BR">"c154"</definedName>
    <definedName name="IQ_CHANGE_OTHER_WORK_CAP_FIN">"c155"</definedName>
    <definedName name="IQ_CHANGE_OTHER_WORK_CAP_INS">"c156"</definedName>
    <definedName name="IQ_CHANGE_OTHER_WORK_CAP_REIT">"c157"</definedName>
    <definedName name="IQ_CHANGE_OTHER_WORK_CAP_UTI">"c158"</definedName>
    <definedName name="IQ_CHANGE_TRADING_ASSETS">"c159"</definedName>
    <definedName name="IQ_CHANGE_UNEARN_REV">"c160"</definedName>
    <definedName name="IQ_CHANGE_WORK_CAP">"c161"</definedName>
    <definedName name="IQ_CHANGES_WORK_CAP">"c1357"</definedName>
    <definedName name="IQ_CHARGE_OFFS_GROSS">"c162"</definedName>
    <definedName name="IQ_CHARGE_OFFS_NET">"c163"</definedName>
    <definedName name="IQ_CHARGE_OFFS_RECOVERED">"c164"</definedName>
    <definedName name="IQ_CHARGE_OFFS_TOTAL_AVG_LOANS">"c165"</definedName>
    <definedName name="IQ_CITY">"c166"</definedName>
    <definedName name="IQ_CL_DUE_AFTER_FIVE">"c167"</definedName>
    <definedName name="IQ_CL_DUE_CY">"c168"</definedName>
    <definedName name="IQ_CL_DUE_CY1">"c169"</definedName>
    <definedName name="IQ_CL_DUE_CY2">"c170"</definedName>
    <definedName name="IQ_CL_DUE_CY3">"c171"</definedName>
    <definedName name="IQ_CL_DUE_CY4">"c172"</definedName>
    <definedName name="IQ_CL_DUE_NEXT_FIVE">"c173"</definedName>
    <definedName name="IQ_CL_OBLIGATION_IMMEDIATE">"c2253"</definedName>
    <definedName name="IQ_CLASSA_OPTIONS_BEG_OS">"c2679"</definedName>
    <definedName name="IQ_CLASSA_OPTIONS_CANCELLED">"c2682"</definedName>
    <definedName name="IQ_CLASSA_OPTIONS_END_OS">"c2683"</definedName>
    <definedName name="IQ_CLASSA_OPTIONS_EXERCISED">"c2681"</definedName>
    <definedName name="IQ_CLASSA_OPTIONS_GRANTED">"c2680"</definedName>
    <definedName name="IQ_CLASSA_OPTIONS_STRIKE_PRICE_OS">"c2684"</definedName>
    <definedName name="IQ_CLASSA_OUTSTANDING_BS_DATE">"c1971"</definedName>
    <definedName name="IQ_CLASSA_OUTSTANDING_FILING_DATE">"c1973"</definedName>
    <definedName name="IQ_CLASSA_STRIKE_PRICE_GRANTED">"c2685"</definedName>
    <definedName name="IQ_CLASSA_WARRANTS_BEG_OS">"c2705"</definedName>
    <definedName name="IQ_CLASSA_WARRANTS_CANCELLED">"c2708"</definedName>
    <definedName name="IQ_CLASSA_WARRANTS_END_OS">"c2709"</definedName>
    <definedName name="IQ_CLASSA_WARRANTS_EXERCISED">"c2707"</definedName>
    <definedName name="IQ_CLASSA_WARRANTS_ISSUED">"c2706"</definedName>
    <definedName name="IQ_CLASSA_WARRANTS_STRIKE_PRICE_ISSUED">"c2711"</definedName>
    <definedName name="IQ_CLASSA_WARRANTS_STRIKE_PRICE_OS">"c2710"</definedName>
    <definedName name="IQ_CLOSEPRICE">"c174"</definedName>
    <definedName name="IQ_CLOSEPRICE_ADJ">"c2115"</definedName>
    <definedName name="IQ_COGS">"c175"</definedName>
    <definedName name="IQ_COMBINED_RATIO">"c176"</definedName>
    <definedName name="IQ_COMMERCIAL_DOM">"c177"</definedName>
    <definedName name="IQ_COMMERCIAL_FIRE_WRITTEN">"c178"</definedName>
    <definedName name="IQ_COMMERCIAL_MORT">"c179"</definedName>
    <definedName name="IQ_COMMISS_FEES">"c180"</definedName>
    <definedName name="IQ_COMMISSION_DEF">"c181"</definedName>
    <definedName name="IQ_COMMON">"c182"</definedName>
    <definedName name="IQ_COMMON_APIC">"c183"</definedName>
    <definedName name="IQ_COMMON_APIC_BNK">"c184"</definedName>
    <definedName name="IQ_COMMON_APIC_BR">"c185"</definedName>
    <definedName name="IQ_COMMON_APIC_FIN">"c186"</definedName>
    <definedName name="IQ_COMMON_APIC_INS">"c187"</definedName>
    <definedName name="IQ_COMMON_APIC_REIT">"c188"</definedName>
    <definedName name="IQ_COMMON_APIC_UTI">"c189"</definedName>
    <definedName name="IQ_COMMON_DIV">"c3006"</definedName>
    <definedName name="IQ_COMMON_DIV_CF">"c190"</definedName>
    <definedName name="IQ_COMMON_EQUITY_10YR_ANN_GROWTH">"c191"</definedName>
    <definedName name="IQ_COMMON_EQUITY_1YR_ANN_GROWTH">"c192"</definedName>
    <definedName name="IQ_COMMON_EQUITY_2YR_ANN_GROWTH">"c193"</definedName>
    <definedName name="IQ_COMMON_EQUITY_3YR_ANN_GROWTH">"c194"</definedName>
    <definedName name="IQ_COMMON_EQUITY_5YR_ANN_GROWTH">"c195"</definedName>
    <definedName name="IQ_COMMON_EQUITY_7YR_ANN_GROWTH">"c196"</definedName>
    <definedName name="IQ_COMMON_ISSUED">"c197"</definedName>
    <definedName name="IQ_COMMON_ISSUED_BNK">"c198"</definedName>
    <definedName name="IQ_COMMON_ISSUED_BR">"c199"</definedName>
    <definedName name="IQ_COMMON_ISSUED_FIN">"c200"</definedName>
    <definedName name="IQ_COMMON_ISSUED_INS">"c201"</definedName>
    <definedName name="IQ_COMMON_ISSUED_REIT">"c202"</definedName>
    <definedName name="IQ_COMMON_ISSUED_UTI">"c203"</definedName>
    <definedName name="IQ_COMMON_PER_ADR">"c204"</definedName>
    <definedName name="IQ_COMMON_PREF_DIV_CF">"c205"</definedName>
    <definedName name="IQ_COMMON_REP">"c206"</definedName>
    <definedName name="IQ_COMMON_REP_BNK">"c207"</definedName>
    <definedName name="IQ_COMMON_REP_BR">"c208"</definedName>
    <definedName name="IQ_COMMON_REP_FIN">"c209"</definedName>
    <definedName name="IQ_COMMON_REP_INS">"c210"</definedName>
    <definedName name="IQ_COMMON_REP_REIT">"c211"</definedName>
    <definedName name="IQ_COMMON_REP_UTI">"c212"</definedName>
    <definedName name="IQ_COMMON_STOCK">"c1358"</definedName>
    <definedName name="IQ_COMP_BENEFITS">"c213"</definedName>
    <definedName name="IQ_COMPANY_ADDRESS">"c214"</definedName>
    <definedName name="IQ_COMPANY_ID">"c3513"</definedName>
    <definedName name="IQ_COMPANY_NAME">"c215"</definedName>
    <definedName name="IQ_COMPANY_NAME_LONG">"c1585"</definedName>
    <definedName name="IQ_COMPANY_PHONE">"c216"</definedName>
    <definedName name="IQ_COMPANY_STATUS">"c2097"</definedName>
    <definedName name="IQ_COMPANY_STREET1">"c217"</definedName>
    <definedName name="IQ_COMPANY_STREET2">"c218"</definedName>
    <definedName name="IQ_COMPANY_TICKER">"c219"</definedName>
    <definedName name="IQ_COMPANY_TYPE">"c2096"</definedName>
    <definedName name="IQ_COMPANY_WEBSITE">"c220"</definedName>
    <definedName name="IQ_COMPANY_ZIP">"c221"</definedName>
    <definedName name="IQ_CONSTRUCTION_LOANS">"c222"</definedName>
    <definedName name="IQ_CONSUMER_LOANS">"c223"</definedName>
    <definedName name="IQ_CONV_DATE">"c2191"</definedName>
    <definedName name="IQ_CONV_EXP_DATE">"c3043"</definedName>
    <definedName name="IQ_CONV_PREMIUM">"c2195"</definedName>
    <definedName name="IQ_CONV_PRICE">"c2193"</definedName>
    <definedName name="IQ_CONV_RATE">"c2192"</definedName>
    <definedName name="IQ_CONV_RATIO">"c2192"</definedName>
    <definedName name="IQ_CONV_SECURITY">"c2189"</definedName>
    <definedName name="IQ_CONV_SECURITY_ISSUER">"c2190"</definedName>
    <definedName name="IQ_CONV_SECURITY_PRICE">"c2194"</definedName>
    <definedName name="IQ_CONVERT">"c2536"</definedName>
    <definedName name="IQ_CONVERT_PCT">"c2537"</definedName>
    <definedName name="IQ_CONVEXITY">"c2182"</definedName>
    <definedName name="IQ_COST_BORROWING">"c2936"</definedName>
    <definedName name="IQ_COST_BORROWINGS">"c225"</definedName>
    <definedName name="IQ_COST_REV">"c226"</definedName>
    <definedName name="IQ_COST_REVENUE">"c1359"</definedName>
    <definedName name="IQ_COST_SAVINGS">"c227"</definedName>
    <definedName name="IQ_COST_SERVICE">"c228"</definedName>
    <definedName name="IQ_COST_TOTAL_BORROWINGS">"c229"</definedName>
    <definedName name="IQ_COUNTRY_NAME">"c230"</definedName>
    <definedName name="IQ_COVERED_POPS">"c2124"</definedName>
    <definedName name="IQ_CP">"c2495"</definedName>
    <definedName name="IQ_CP_PCT">"c2496"</definedName>
    <definedName name="IQ_CQ">5000</definedName>
    <definedName name="IQ_CREDIT_CARD_FEE_BNK">"c231"</definedName>
    <definedName name="IQ_CREDIT_CARD_FEE_FIN">"c1583"</definedName>
    <definedName name="IQ_CREDIT_LOSS_CF">"c232"</definedName>
    <definedName name="IQ_CUMULATIVE_SPLIT_FACTOR">"c2094"</definedName>
    <definedName name="IQ_CURR_DOMESTIC_TAXES">"c2074"</definedName>
    <definedName name="IQ_CURR_FOREIGN_TAXES">"c2075"</definedName>
    <definedName name="IQ_CURRENCY_FACTOR_BS">"c233"</definedName>
    <definedName name="IQ_CURRENCY_FACTOR_IS">"c234"</definedName>
    <definedName name="IQ_CURRENCY_GAIN">"c235"</definedName>
    <definedName name="IQ_CURRENCY_GAIN_BR">"c236"</definedName>
    <definedName name="IQ_CURRENCY_GAIN_FIN">"c237"</definedName>
    <definedName name="IQ_CURRENCY_GAIN_INS">"c238"</definedName>
    <definedName name="IQ_CURRENCY_GAIN_REIT">"c239"</definedName>
    <definedName name="IQ_CURRENCY_GAIN_UTI">"c240"</definedName>
    <definedName name="IQ_CURRENT_PORT">"c241"</definedName>
    <definedName name="IQ_CURRENT_PORT_BNK">"c242"</definedName>
    <definedName name="IQ_CURRENT_PORT_DEBT">"c243"</definedName>
    <definedName name="IQ_CURRENT_PORT_DEBT_BNK">"c244"</definedName>
    <definedName name="IQ_CURRENT_PORT_DEBT_BR">"c1567"</definedName>
    <definedName name="IQ_CURRENT_PORT_DEBT_FIN">"c1568"</definedName>
    <definedName name="IQ_CURRENT_PORT_DEBT_INS">"c1569"</definedName>
    <definedName name="IQ_CURRENT_PORT_DEBT_REIT">"c1570"</definedName>
    <definedName name="IQ_CURRENT_PORT_DEBT_UTI">"c1571"</definedName>
    <definedName name="IQ_CURRENT_PORT_LEASES">"c245"</definedName>
    <definedName name="IQ_CURRENT_PORT_PCT">"c2541"</definedName>
    <definedName name="IQ_CURRENT_RATIO">"c246"</definedName>
    <definedName name="IQ_CUSIP">"c2245"</definedName>
    <definedName name="IQ_CY">10000</definedName>
    <definedName name="IQ_DA">"c247"</definedName>
    <definedName name="IQ_DA_BR">"c248"</definedName>
    <definedName name="IQ_DA_CF">"c249"</definedName>
    <definedName name="IQ_DA_CF_BNK">"c250"</definedName>
    <definedName name="IQ_DA_CF_BR">"c251"</definedName>
    <definedName name="IQ_DA_CF_FIN">"c252"</definedName>
    <definedName name="IQ_DA_CF_INS">"c253"</definedName>
    <definedName name="IQ_DA_CF_REIT">"c254"</definedName>
    <definedName name="IQ_DA_CF_UTI">"c255"</definedName>
    <definedName name="IQ_DA_FIN">"c256"</definedName>
    <definedName name="IQ_DA_INS">"c257"</definedName>
    <definedName name="IQ_DA_REIT">"c258"</definedName>
    <definedName name="IQ_DA_SUPPL">"c259"</definedName>
    <definedName name="IQ_DA_SUPPL_BR">"c260"</definedName>
    <definedName name="IQ_DA_SUPPL_CF">"c261"</definedName>
    <definedName name="IQ_DA_SUPPL_CF_BNK">"c262"</definedName>
    <definedName name="IQ_DA_SUPPL_CF_BR">"c263"</definedName>
    <definedName name="IQ_DA_SUPPL_CF_FIN">"c264"</definedName>
    <definedName name="IQ_DA_SUPPL_CF_INS">"c265"</definedName>
    <definedName name="IQ_DA_SUPPL_CF_REIT">"c266"</definedName>
    <definedName name="IQ_DA_SUPPL_CF_UTI">"c267"</definedName>
    <definedName name="IQ_DA_SUPPL_FIN">"c268"</definedName>
    <definedName name="IQ_DA_SUPPL_INS">"c269"</definedName>
    <definedName name="IQ_DA_SUPPL_REIT">"c270"</definedName>
    <definedName name="IQ_DA_SUPPL_UTI">"c271"</definedName>
    <definedName name="IQ_DA_UTI">"c272"</definedName>
    <definedName name="IQ_DAILY">500000</definedName>
    <definedName name="IQ_DATED_DATE">"c2185"</definedName>
    <definedName name="IQ_DAY_COUNT">"c2161"</definedName>
    <definedName name="IQ_DAYS_COVER_SHORT">"c1578"</definedName>
    <definedName name="IQ_DAYS_INVENTORY_OUT">"c273"</definedName>
    <definedName name="IQ_DAYS_PAY_OUTST">"c1362"</definedName>
    <definedName name="IQ_DAYS_PAYABLE_OUT">"c274"</definedName>
    <definedName name="IQ_DAYS_SALES_OUT">"c275"</definedName>
    <definedName name="IQ_DAYS_SALES_OUTST">"c1363"</definedName>
    <definedName name="IQ_DEBT_ADJ">"c2515"</definedName>
    <definedName name="IQ_DEBT_ADJ_PCT">"c2516"</definedName>
    <definedName name="IQ_DEBT_EQUIV_NET_PBO">"c2938"</definedName>
    <definedName name="IQ_DEBT_EQUIV_OPER_LEASE">"c2935"</definedName>
    <definedName name="IQ_DEF_ACQ_CST">"c1364"</definedName>
    <definedName name="IQ_DEF_AMORT">"c276"</definedName>
    <definedName name="IQ_DEF_AMORT_BNK">"c277"</definedName>
    <definedName name="IQ_DEF_AMORT_BR">"c278"</definedName>
    <definedName name="IQ_DEF_AMORT_FIN">"c279"</definedName>
    <definedName name="IQ_DEF_AMORT_INS">"c280"</definedName>
    <definedName name="IQ_DEF_AMORT_REIT">"c281"</definedName>
    <definedName name="IQ_DEF_AMORT_UTI">"c282"</definedName>
    <definedName name="IQ_DEF_BENEFIT_INTEREST_COST">"c283"</definedName>
    <definedName name="IQ_DEF_BENEFIT_INTEREST_COST_DOMESTIC">"c2652"</definedName>
    <definedName name="IQ_DEF_BENEFIT_INTEREST_COST_FOREIGN">"c2660"</definedName>
    <definedName name="IQ_DEF_BENEFIT_OTHER_COST">"c284"</definedName>
    <definedName name="IQ_DEF_BENEFIT_OTHER_COST_DOMESTIC">"c2654"</definedName>
    <definedName name="IQ_DEF_BENEFIT_OTHER_COST_FOREIGN">"c2662"</definedName>
    <definedName name="IQ_DEF_BENEFIT_ROA">"c285"</definedName>
    <definedName name="IQ_DEF_BENEFIT_ROA_DOMESTIC">"c2653"</definedName>
    <definedName name="IQ_DEF_BENEFIT_ROA_FOREIGN">"c2661"</definedName>
    <definedName name="IQ_DEF_BENEFIT_SERVICE_COST">"c286"</definedName>
    <definedName name="IQ_DEF_BENEFIT_SERVICE_COST_DOMESTIC">"c2651"</definedName>
    <definedName name="IQ_DEF_BENEFIT_SERVICE_COST_FOREIGN">"c2659"</definedName>
    <definedName name="IQ_DEF_BENEFIT_TOTAL_COST">"c287"</definedName>
    <definedName name="IQ_DEF_BENEFIT_TOTAL_COST_DOMESTIC">"c2655"</definedName>
    <definedName name="IQ_DEF_BENEFIT_TOTAL_COST_FOREIGN">"c2663"</definedName>
    <definedName name="IQ_DEF_CHARGES_BR">"c288"</definedName>
    <definedName name="IQ_DEF_CHARGES_CF">"c289"</definedName>
    <definedName name="IQ_DEF_CHARGES_FIN">"c290"</definedName>
    <definedName name="IQ_DEF_CHARGES_INS">"c291"</definedName>
    <definedName name="IQ_DEF_CHARGES_LT">"c292"</definedName>
    <definedName name="IQ_DEF_CHARGES_LT_BNK">"c293"</definedName>
    <definedName name="IQ_DEF_CHARGES_LT_BR">"c294"</definedName>
    <definedName name="IQ_DEF_CHARGES_LT_FIN">"c295"</definedName>
    <definedName name="IQ_DEF_CHARGES_LT_INS">"c296"</definedName>
    <definedName name="IQ_DEF_CHARGES_LT_REIT">"c297"</definedName>
    <definedName name="IQ_DEF_CHARGES_LT_UTI">"c298"</definedName>
    <definedName name="IQ_DEF_CHARGES_REIT">"c299"</definedName>
    <definedName name="IQ_DEF_CONTRIBUTION_TOTAL_COST">"c300"</definedName>
    <definedName name="IQ_DEF_INC_TAX">"c1365"</definedName>
    <definedName name="IQ_DEF_POLICY_ACQ_COSTS">"c301"</definedName>
    <definedName name="IQ_DEF_POLICY_ACQ_COSTS_CF">"c302"</definedName>
    <definedName name="IQ_DEF_POLICY_AMORT">"c303"</definedName>
    <definedName name="IQ_DEF_TAX_ASSET_LT_BR">"c304"</definedName>
    <definedName name="IQ_DEF_TAX_ASSET_LT_FIN">"c305"</definedName>
    <definedName name="IQ_DEF_TAX_ASSET_LT_INS">"c306"</definedName>
    <definedName name="IQ_DEF_TAX_ASSET_LT_REIT">"c307"</definedName>
    <definedName name="IQ_DEF_TAX_ASSET_LT_UTI">"c308"</definedName>
    <definedName name="IQ_DEF_TAX_ASSETS_CURRENT">"c309"</definedName>
    <definedName name="IQ_DEF_TAX_ASSETS_LT">"c310"</definedName>
    <definedName name="IQ_DEF_TAX_ASSETS_LT_BNK">"c311"</definedName>
    <definedName name="IQ_DEF_TAX_LIAB_CURRENT">"c312"</definedName>
    <definedName name="IQ_DEF_TAX_LIAB_LT">"c313"</definedName>
    <definedName name="IQ_DEF_TAX_LIAB_LT_BNK">"c314"</definedName>
    <definedName name="IQ_DEF_TAX_LIAB_LT_BR">"c315"</definedName>
    <definedName name="IQ_DEF_TAX_LIAB_LT_FIN">"c316"</definedName>
    <definedName name="IQ_DEF_TAX_LIAB_LT_INS">"c317"</definedName>
    <definedName name="IQ_DEF_TAX_LIAB_LT_REIT">"c318"</definedName>
    <definedName name="IQ_DEF_TAX_LIAB_LT_UTI">"c319"</definedName>
    <definedName name="IQ_DEFERRED_DOMESTIC_TAXES">"c2077"</definedName>
    <definedName name="IQ_DEFERRED_FOREIGN_TAXES">"c2078"</definedName>
    <definedName name="IQ_DEFERRED_INC_TAX">"c1447"</definedName>
    <definedName name="IQ_DEFERRED_TAXES">"c1356"</definedName>
    <definedName name="IQ_DEMAND_DEP">"c320"</definedName>
    <definedName name="IQ_DEPOSITS_FIN">"c321"</definedName>
    <definedName name="IQ_DEPRE_AMORT">"c1360"</definedName>
    <definedName name="IQ_DEPRE_AMORT_SUPPL">"c1593"</definedName>
    <definedName name="IQ_DEPRE_DEPLE">"c1361"</definedName>
    <definedName name="IQ_DEPRE_SUPP">"c1443"</definedName>
    <definedName name="IQ_DESCRIPTION_LONG">"c1520"</definedName>
    <definedName name="IQ_DEVELOP_LAND">"c323"</definedName>
    <definedName name="IQ_DILUT_ADJUST">"c1621"</definedName>
    <definedName name="IQ_DILUT_EPS_EXCL">"c324"</definedName>
    <definedName name="IQ_DILUT_EPS_INCL">"c325"</definedName>
    <definedName name="IQ_DILUT_EPS_NORM">"c1903"</definedName>
    <definedName name="IQ_DILUT_NI">"c2079"</definedName>
    <definedName name="IQ_DILUT_NORMAL_EPS">"c1594"</definedName>
    <definedName name="IQ_DILUT_WEIGHT">"c326"</definedName>
    <definedName name="IQ_DIRECT_AH_EARNED">"c2740"</definedName>
    <definedName name="IQ_DIRECT_EARNED">"c2730"</definedName>
    <definedName name="IQ_DIRECT_LIFE_EARNED">"c2735"</definedName>
    <definedName name="IQ_DIRECT_LIFE_IN_FORCE">"c2765"</definedName>
    <definedName name="IQ_DIRECT_PC_EARNED">"c2745"</definedName>
    <definedName name="IQ_DIRECT_WRITTEN">"c2724"</definedName>
    <definedName name="IQ_DISCONT_OPER">"c1367"</definedName>
    <definedName name="IQ_DISCOUNT_RATE_PENSION_DOMESTIC">"c327"</definedName>
    <definedName name="IQ_DISCOUNT_RATE_PENSION_FOREIGN">"c328"</definedName>
    <definedName name="IQ_DISTR_EXCESS_EARN">"c329"</definedName>
    <definedName name="IQ_DISTRIBUTABLE_CASH">"c3002"</definedName>
    <definedName name="IQ_DISTRIBUTABLE_CASH_PAYOUT">"c3005"</definedName>
    <definedName name="IQ_DISTRIBUTABLE_CASH_SHARE">"c3003"</definedName>
    <definedName name="IQ_DIV_AMOUNT">"c3041"</definedName>
    <definedName name="IQ_DIV_PAYMENT_DATE">"c2205"</definedName>
    <definedName name="IQ_DIV_RECORD_DATE">"c2204"</definedName>
    <definedName name="IQ_DIV_SHARE">"c330"</definedName>
    <definedName name="IQ_DIVEST_CF">"c331"</definedName>
    <definedName name="IQ_DIVID_SHARE">"c1366"</definedName>
    <definedName name="IQ_DIVIDEND_YIELD">"c332"</definedName>
    <definedName name="IQ_DNTM">700000</definedName>
    <definedName name="IQ_DO">"c333"</definedName>
    <definedName name="IQ_DO_ASSETS_CURRENT">"c334"</definedName>
    <definedName name="IQ_DO_ASSETS_LT">"c335"</definedName>
    <definedName name="IQ_DO_CF">"c336"</definedName>
    <definedName name="IQ_DPAC_ACC">"c2799"</definedName>
    <definedName name="IQ_DPAC_AMORT">"c2795"</definedName>
    <definedName name="IQ_DPAC_BEG">"c2791"</definedName>
    <definedName name="IQ_DPAC_COMMISSIONS">"c2792"</definedName>
    <definedName name="IQ_DPAC_END">"c2801"</definedName>
    <definedName name="IQ_DPAC_FX">"c2798"</definedName>
    <definedName name="IQ_DPAC_OTHER_ADJ">"c2800"</definedName>
    <definedName name="IQ_DPAC_OTHERS">"c2793"</definedName>
    <definedName name="IQ_DPAC_PERIOD">"c2794"</definedName>
    <definedName name="IQ_DPAC_REAL_GAIN">"c2797"</definedName>
    <definedName name="IQ_DPAC_UNREAL_GAIN">"c2796"</definedName>
    <definedName name="IQ_DPS_10YR_ANN_GROWTH">"c337"</definedName>
    <definedName name="IQ_DPS_1YR_ANN_GROWTH">"c338"</definedName>
    <definedName name="IQ_DPS_2YR_ANN_GROWTH">"c339"</definedName>
    <definedName name="IQ_DPS_3YR_ANN_GROWTH">"c340"</definedName>
    <definedName name="IQ_DPS_5YR_ANN_GROWTH">"c341"</definedName>
    <definedName name="IQ_DPS_7YR_ANN_GROWTH">"c342"</definedName>
    <definedName name="IQ_DURATION">"c2181"</definedName>
    <definedName name="IQ_EARNING_ASSET_YIELD">"c343"</definedName>
    <definedName name="IQ_EARNING_CO">"c344"</definedName>
    <definedName name="IQ_EARNING_CO_10YR_ANN_GROWTH">"c345"</definedName>
    <definedName name="IQ_EARNING_CO_1YR_ANN_GROWTH">"c346"</definedName>
    <definedName name="IQ_EARNING_CO_2YR_ANN_GROWTH">"c347"</definedName>
    <definedName name="IQ_EARNING_CO_3YR_ANN_GROWTH">"c348"</definedName>
    <definedName name="IQ_EARNING_CO_5YR_ANN_GROWTH">"c349"</definedName>
    <definedName name="IQ_EARNING_CO_7YR_ANN_GROWTH">"c350"</definedName>
    <definedName name="IQ_EARNING_CO_MARGIN">"c351"</definedName>
    <definedName name="IQ_EBIT">"c352"</definedName>
    <definedName name="IQ_EBIT_10YR_ANN_GROWTH">"c353"</definedName>
    <definedName name="IQ_EBIT_1YR_ANN_GROWTH">"c354"</definedName>
    <definedName name="IQ_EBIT_2YR_ANN_GROWTH">"c355"</definedName>
    <definedName name="IQ_EBIT_3YR_ANN_GROWTH">"c356"</definedName>
    <definedName name="IQ_EBIT_5YR_ANN_GROWTH">"c357"</definedName>
    <definedName name="IQ_EBIT_7YR_ANN_GROWTH">"c358"</definedName>
    <definedName name="IQ_EBIT_EQ_INC">"c3498"</definedName>
    <definedName name="IQ_EBIT_EQ_INC_EXCL_SBC">"c3502"</definedName>
    <definedName name="IQ_EBIT_EXCL_SBC">"c3082"</definedName>
    <definedName name="IQ_EBIT_INT">"c360"</definedName>
    <definedName name="IQ_EBIT_MARGIN">"c359"</definedName>
    <definedName name="IQ_EBIT_OVER_IE">"c1369"</definedName>
    <definedName name="IQ_EBITA">"c1910"</definedName>
    <definedName name="IQ_EBITA_10YR_ANN_GROWTH">"c1954"</definedName>
    <definedName name="IQ_EBITA_1YR_ANN_GROWTH">"c1949"</definedName>
    <definedName name="IQ_EBITA_2YR_ANN_GROWTH">"c1950"</definedName>
    <definedName name="IQ_EBITA_3YR_ANN_GROWTH">"c1951"</definedName>
    <definedName name="IQ_EBITA_5YR_ANN_GROWTH">"c1952"</definedName>
    <definedName name="IQ_EBITA_7YR_ANN_GROWTH">"c1953"</definedName>
    <definedName name="IQ_EBITA_EQ_INC">"c3497"</definedName>
    <definedName name="IQ_EBITA_EQ_INC_EXCL_SBC">"c3501"</definedName>
    <definedName name="IQ_EBITA_EXCL_SBC">"c3080"</definedName>
    <definedName name="IQ_EBITA_MARGIN">"c1963"</definedName>
    <definedName name="IQ_EBITDA">"c361"</definedName>
    <definedName name="IQ_EBITDA_10YR_ANN_GROWTH">"c362"</definedName>
    <definedName name="IQ_EBITDA_1YR_ANN_GROWTH">"c363"</definedName>
    <definedName name="IQ_EBITDA_2YR_ANN_GROWTH">"c364"</definedName>
    <definedName name="IQ_EBITDA_3YR_ANN_GROWTH">"c365"</definedName>
    <definedName name="IQ_EBITDA_5YR_ANN_GROWTH">"c366"</definedName>
    <definedName name="IQ_EBITDA_7YR_ANN_GROWTH">"c367"</definedName>
    <definedName name="IQ_EBITDA_ACT_OR_EST">"c2215"</definedName>
    <definedName name="IQ_EBITDA_CAPEX_INT">"c368"</definedName>
    <definedName name="IQ_EBITDA_CAPEX_OVER_TOTAL_IE">"c1370"</definedName>
    <definedName name="IQ_EBITDA_EQ_INC">"c3496"</definedName>
    <definedName name="IQ_EBITDA_EQ_INC_EXCL_SBC">"c3500"</definedName>
    <definedName name="IQ_EBITDA_EST">"c369"</definedName>
    <definedName name="IQ_EBITDA_EXCL_SBC">"c3081"</definedName>
    <definedName name="IQ_EBITDA_HIGH_EST">"c370"</definedName>
    <definedName name="IQ_EBITDA_INT">"c373"</definedName>
    <definedName name="IQ_EBITDA_LOW_EST">"c371"</definedName>
    <definedName name="IQ_EBITDA_MARGIN">"c372"</definedName>
    <definedName name="IQ_EBITDA_MEDIAN_EST">"c1663"</definedName>
    <definedName name="IQ_EBITDA_NUM_EST">"c374"</definedName>
    <definedName name="IQ_EBITDA_OVER_TOTAL_IE">"c1371"</definedName>
    <definedName name="IQ_EBITDA_STDDEV_EST">"c375"</definedName>
    <definedName name="IQ_EBITDAR">"c2989"</definedName>
    <definedName name="IQ_EBITDAR_EQ_INC">"c3499"</definedName>
    <definedName name="IQ_EBITDAR_EQ_INC_EXCL_SBC">"c3503"</definedName>
    <definedName name="IQ_EBITDAR_EXCL_SBC">"c3083"</definedName>
    <definedName name="IQ_EBT">"c376"</definedName>
    <definedName name="IQ_EBT_BNK">"c377"</definedName>
    <definedName name="IQ_EBT_BR">"c378"</definedName>
    <definedName name="IQ_EBT_EXCL">"c379"</definedName>
    <definedName name="IQ_EBT_EXCL_BNK">"c380"</definedName>
    <definedName name="IQ_EBT_EXCL_BR">"c381"</definedName>
    <definedName name="IQ_EBT_EXCL_FIN">"c382"</definedName>
    <definedName name="IQ_EBT_EXCL_INS">"c383"</definedName>
    <definedName name="IQ_EBT_EXCL_MARGIN">"c1462"</definedName>
    <definedName name="IQ_EBT_EXCL_REIT">"c384"</definedName>
    <definedName name="IQ_EBT_EXCL_UTI">"c385"</definedName>
    <definedName name="IQ_EBT_FIN">"c386"</definedName>
    <definedName name="IQ_EBT_INCL_MARGIN">"c387"</definedName>
    <definedName name="IQ_EBT_INS">"c388"</definedName>
    <definedName name="IQ_EBT_REIT">"c389"</definedName>
    <definedName name="IQ_EBT_UTI">"c390"</definedName>
    <definedName name="IQ_EFFECT_SPECIAL_CHARGE">"c1595"</definedName>
    <definedName name="IQ_EFFECT_TAX_RATE">"c1899"</definedName>
    <definedName name="IQ_EFFICIENCY_RATIO">"c391"</definedName>
    <definedName name="IQ_EMPLOYEES">"c392"</definedName>
    <definedName name="IQ_ENTERPRISE_VALUE">"c1348"</definedName>
    <definedName name="IQ_EPS_10YR_ANN_GROWTH">"c393"</definedName>
    <definedName name="IQ_EPS_1YR_ANN_GROWTH">"c394"</definedName>
    <definedName name="IQ_EPS_2YR_ANN_GROWTH">"c395"</definedName>
    <definedName name="IQ_EPS_3YR_ANN_GROWTH">"c396"</definedName>
    <definedName name="IQ_EPS_5YR_ANN_GROWTH">"c397"</definedName>
    <definedName name="IQ_EPS_7YR_ANN_GROWTH">"c398"</definedName>
    <definedName name="IQ_EPS_EST">"c399"</definedName>
    <definedName name="IQ_EPS_HIGH_EST">"c400"</definedName>
    <definedName name="IQ_EPS_LOW_EST">"c401"</definedName>
    <definedName name="IQ_EPS_MEDIAN_EST">"c1661"</definedName>
    <definedName name="IQ_EPS_NORM">"c1902"</definedName>
    <definedName name="IQ_EPS_NUM_EST">"c402"</definedName>
    <definedName name="IQ_EPS_STDDEV_EST">"c403"</definedName>
    <definedName name="IQ_EQUITY_AFFIL">"c1451"</definedName>
    <definedName name="IQ_EQUITY_METHOD">"c404"</definedName>
    <definedName name="IQ_EQV_OVER_BV">"c1596"</definedName>
    <definedName name="IQ_EQV_OVER_LTM_PRETAX_INC">"c1390"</definedName>
    <definedName name="IQ_ESOP_DEBT">"c1597"</definedName>
    <definedName name="IQ_EST_CURRENCY">"c2140"</definedName>
    <definedName name="IQ_EST_DATE">"c1634"</definedName>
    <definedName name="IQ_EST_EPS_GROWTH_1YR">"c1636"</definedName>
    <definedName name="IQ_EST_EPS_GROWTH_5YR">"c1655"</definedName>
    <definedName name="IQ_EST_EPS_GROWTH_Q_1YR">"c1641"</definedName>
    <definedName name="IQ_EV_OVER_EMPLOYEE">"c1428"</definedName>
    <definedName name="IQ_EV_OVER_LTM_EBIT">"c1426"</definedName>
    <definedName name="IQ_EV_OVER_LTM_EBITDA">"c1427"</definedName>
    <definedName name="IQ_EV_OVER_LTM_REVENUE">"c1429"</definedName>
    <definedName name="IQ_EVAL_DATE">"c2180"</definedName>
    <definedName name="IQ_EXCHANGE">"c405"</definedName>
    <definedName name="IQ_EXERCISE_PRICE">"c1897"</definedName>
    <definedName name="IQ_EXERCISED">"c406"</definedName>
    <definedName name="IQ_EXP_RETURN_PENSION_DOMESTIC">"c407"</definedName>
    <definedName name="IQ_EXP_RETURN_PENSION_FOREIGN">"c408"</definedName>
    <definedName name="IQ_EXPLORE_DRILL">"c409"</definedName>
    <definedName name="IQ_EXTRA_ACC_ITEMS">"c410"</definedName>
    <definedName name="IQ_EXTRA_ACC_ITEMS_BNK">"c411"</definedName>
    <definedName name="IQ_EXTRA_ACC_ITEMS_BR">"c412"</definedName>
    <definedName name="IQ_EXTRA_ACC_ITEMS_FIN">"c413"</definedName>
    <definedName name="IQ_EXTRA_ACC_ITEMS_INS">"c414"</definedName>
    <definedName name="IQ_EXTRA_ACC_ITEMS_REIT">"c415"</definedName>
    <definedName name="IQ_EXTRA_ACC_ITEMS_UTI">"c416"</definedName>
    <definedName name="IQ_EXTRA_ITEMS">"c1459"</definedName>
    <definedName name="IQ_FDIC">"c417"</definedName>
    <definedName name="IQ_FEDFUNDS_SOLD">"c2256"</definedName>
    <definedName name="IQ_FFO">"c1574"</definedName>
    <definedName name="IQ_FFO_PAYOUT_RATIO">"c3492"</definedName>
    <definedName name="IQ_FH">100000</definedName>
    <definedName name="IQ_FHLB_DEBT">"c423"</definedName>
    <definedName name="IQ_FHLB_DUE_CY">"c2080"</definedName>
    <definedName name="IQ_FHLB_DUE_CY1">"c2081"</definedName>
    <definedName name="IQ_FHLB_DUE_CY2">"c2082"</definedName>
    <definedName name="IQ_FHLB_DUE_CY3">"c2083"</definedName>
    <definedName name="IQ_FHLB_DUE_CY4">"c2084"</definedName>
    <definedName name="IQ_FHLB_DUE_NEXT_FIVE">"c2085"</definedName>
    <definedName name="IQ_FILING_CURRENCY">"c2129"</definedName>
    <definedName name="IQ_FILINGDATE_BS">"c424"</definedName>
    <definedName name="IQ_FILINGDATE_CF">"c425"</definedName>
    <definedName name="IQ_FILINGDATE_IS">"c426"</definedName>
    <definedName name="IQ_FILM_RIGHTS">"c2254"</definedName>
    <definedName name="IQ_FIN_DIV_ASSETS_CURRENT">"c427"</definedName>
    <definedName name="IQ_FIN_DIV_ASSETS_LT">"c428"</definedName>
    <definedName name="IQ_FIN_DIV_DEBT_CURRENT">"c429"</definedName>
    <definedName name="IQ_FIN_DIV_DEBT_LT">"c430"</definedName>
    <definedName name="IQ_FIN_DIV_EXP">"c431"</definedName>
    <definedName name="IQ_FIN_DIV_INT_EXP">"c432"</definedName>
    <definedName name="IQ_FIN_DIV_LIAB_CURRENT">"c433"</definedName>
    <definedName name="IQ_FIN_DIV_LIAB_LT">"c434"</definedName>
    <definedName name="IQ_FIN_DIV_LOANS_CURRENT">"c435"</definedName>
    <definedName name="IQ_FIN_DIV_LOANS_LT">"c436"</definedName>
    <definedName name="IQ_FIN_DIV_REV">"c437"</definedName>
    <definedName name="IQ_FINANCING_CASH">"c1405"</definedName>
    <definedName name="IQ_FINANCING_CASH_SUPPL">"c1406"</definedName>
    <definedName name="IQ_FINISHED_INV">"c438"</definedName>
    <definedName name="IQ_FIRST_INT_DATE">"c2186"</definedName>
    <definedName name="IQ_FIRST_YEAR_LIFE">"c439"</definedName>
    <definedName name="IQ_FIRST_YEAR_LIFE_PREM">"c2787"</definedName>
    <definedName name="IQ_FIRST_YEAR_PREM">"c2786"</definedName>
    <definedName name="IQ_FIRSTPRICINGDATE">"c3050"</definedName>
    <definedName name="IQ_FISCAL_Q">"c440"</definedName>
    <definedName name="IQ_FISCAL_Y">"c441"</definedName>
    <definedName name="IQ_FIVE_PERCENT_OWNER">"c442"</definedName>
    <definedName name="IQ_FIVEPERCENT_PERCENT">"c443"</definedName>
    <definedName name="IQ_FIVEPERCENT_SHARES">"c444"</definedName>
    <definedName name="IQ_FIXED_ASSET_TURNS">"c445"</definedName>
    <definedName name="IQ_FLOAT_PERCENT">"c1575"</definedName>
    <definedName name="IQ_FOREIGN_DEP_IB">"c446"</definedName>
    <definedName name="IQ_FOREIGN_DEP_NON_IB">"c447"</definedName>
    <definedName name="IQ_FOREIGN_EXCHANGE">"c1376"</definedName>
    <definedName name="IQ_FOREIGN_LOANS">"c448"</definedName>
    <definedName name="IQ_FQ">500</definedName>
    <definedName name="IQ_FUEL">"c449"</definedName>
    <definedName name="IQ_FULL_TIME">"c450"</definedName>
    <definedName name="IQ_FWD_CY">10001</definedName>
    <definedName name="IQ_FWD_CY1">10002</definedName>
    <definedName name="IQ_FWD_CY2">10003</definedName>
    <definedName name="IQ_FWD_FY">1001</definedName>
    <definedName name="IQ_FWD_FY1">1002</definedName>
    <definedName name="IQ_FWD_FY2">1003</definedName>
    <definedName name="IQ_FWD_Q">501</definedName>
    <definedName name="IQ_FWD_Q1">502</definedName>
    <definedName name="IQ_FWD_Q2">503</definedName>
    <definedName name="IQ_FX">"c451"</definedName>
    <definedName name="IQ_FY">1000</definedName>
    <definedName name="IQ_GA_EXP">"c2241"</definedName>
    <definedName name="IQ_GAIN_ASSETS">"c452"</definedName>
    <definedName name="IQ_GAIN_ASSETS_BNK">"c453"</definedName>
    <definedName name="IQ_GAIN_ASSETS_BR">"c454"</definedName>
    <definedName name="IQ_GAIN_ASSETS_CF">"c455"</definedName>
    <definedName name="IQ_GAIN_ASSETS_CF_BNK">"c456"</definedName>
    <definedName name="IQ_GAIN_ASSETS_CF_BR">"c457"</definedName>
    <definedName name="IQ_GAIN_ASSETS_CF_FIN">"c458"</definedName>
    <definedName name="IQ_GAIN_ASSETS_CF_INS">"c459"</definedName>
    <definedName name="IQ_GAIN_ASSETS_CF_REIT">"c460"</definedName>
    <definedName name="IQ_GAIN_ASSETS_CF_UTI">"c461"</definedName>
    <definedName name="IQ_GAIN_ASSETS_FIN">"c462"</definedName>
    <definedName name="IQ_GAIN_ASSETS_INS">"c463"</definedName>
    <definedName name="IQ_GAIN_ASSETS_REIT">"c471"</definedName>
    <definedName name="IQ_GAIN_ASSETS_REV">"c472"</definedName>
    <definedName name="IQ_GAIN_ASSETS_REV_BNK">"c473"</definedName>
    <definedName name="IQ_GAIN_ASSETS_REV_BR">"c474"</definedName>
    <definedName name="IQ_GAIN_ASSETS_REV_FIN">"c475"</definedName>
    <definedName name="IQ_GAIN_ASSETS_REV_INS">"c476"</definedName>
    <definedName name="IQ_GAIN_ASSETS_REV_REIT">"c477"</definedName>
    <definedName name="IQ_GAIN_ASSETS_REV_UTI">"c478"</definedName>
    <definedName name="IQ_GAIN_ASSETS_UTI">"c479"</definedName>
    <definedName name="IQ_GAIN_INVEST">"c1463"</definedName>
    <definedName name="IQ_GAIN_INVEST_BNK">"c1582"</definedName>
    <definedName name="IQ_GAIN_INVEST_BR">"c1464"</definedName>
    <definedName name="IQ_GAIN_INVEST_CF">"c480"</definedName>
    <definedName name="IQ_GAIN_INVEST_CF_BNK">"c481"</definedName>
    <definedName name="IQ_GAIN_INVEST_CF_BR">"c482"</definedName>
    <definedName name="IQ_GAIN_INVEST_CF_FIN">"c483"</definedName>
    <definedName name="IQ_GAIN_INVEST_CF_INS">"c484"</definedName>
    <definedName name="IQ_GAIN_INVEST_CF_REIT">"c485"</definedName>
    <definedName name="IQ_GAIN_INVEST_CF_UTI">"c486"</definedName>
    <definedName name="IQ_GAIN_INVEST_FIN">"c1465"</definedName>
    <definedName name="IQ_GAIN_INVEST_INS">"c1466"</definedName>
    <definedName name="IQ_GAIN_INVEST_REIT">"c1467"</definedName>
    <definedName name="IQ_GAIN_INVEST_REV">"c494"</definedName>
    <definedName name="IQ_GAIN_INVEST_REV_BNK">"c495"</definedName>
    <definedName name="IQ_GAIN_INVEST_REV_BR">"c496"</definedName>
    <definedName name="IQ_GAIN_INVEST_REV_FIN">"c497"</definedName>
    <definedName name="IQ_GAIN_INVEST_REV_INS">"c498"</definedName>
    <definedName name="IQ_GAIN_INVEST_REV_REIT">"c499"</definedName>
    <definedName name="IQ_GAIN_INVEST_REV_UTI">"c500"</definedName>
    <definedName name="IQ_GAIN_INVEST_UTI">"c1468"</definedName>
    <definedName name="IQ_GAIN_LOANS_REC">"c501"</definedName>
    <definedName name="IQ_GAIN_LOANS_RECEIV">"c502"</definedName>
    <definedName name="IQ_GAIN_LOANS_RECEIV_REV_FIN">"c503"</definedName>
    <definedName name="IQ_GAIN_LOANS_REV">"c504"</definedName>
    <definedName name="IQ_GAIN_SALE_ASSETS">"c1377"</definedName>
    <definedName name="IQ_GOODWILL_NET">"c1380"</definedName>
    <definedName name="IQ_GP">"c511"</definedName>
    <definedName name="IQ_GP_10YR_ANN_GROWTH">"c512"</definedName>
    <definedName name="IQ_GP_1YR_ANN_GROWTH">"c513"</definedName>
    <definedName name="IQ_GP_2YR_ANN_GROWTH">"c514"</definedName>
    <definedName name="IQ_GP_3YR_ANN_GROWTH">"c515"</definedName>
    <definedName name="IQ_GP_5YR_ANN_GROWTH">"c516"</definedName>
    <definedName name="IQ_GP_7YR_ANN_GROWTH">"c517"</definedName>
    <definedName name="IQ_GPPE">"c518"</definedName>
    <definedName name="IQ_GROSS_AH_EARNED">"c2742"</definedName>
    <definedName name="IQ_GROSS_CLAIM_EXP_INCUR">"c2755"</definedName>
    <definedName name="IQ_GROSS_CLAIM_EXP_PAID">"c2758"</definedName>
    <definedName name="IQ_GROSS_CLAIM_EXP_RES">"c2752"</definedName>
    <definedName name="IQ_GROSS_DIVID">"c1446"</definedName>
    <definedName name="IQ_GROSS_EARNED">"c2732"</definedName>
    <definedName name="IQ_GROSS_LIFE_EARNED">"c2737"</definedName>
    <definedName name="IQ_GROSS_LIFE_IN_FORCE">"c2767"</definedName>
    <definedName name="IQ_GROSS_LOANS">"c521"</definedName>
    <definedName name="IQ_GROSS_LOANS_10YR_ANN_GROWTH">"c522"</definedName>
    <definedName name="IQ_GROSS_LOANS_1YR_ANN_GROWTH">"c523"</definedName>
    <definedName name="IQ_GROSS_LOANS_2YR_ANN_GROWTH">"c524"</definedName>
    <definedName name="IQ_GROSS_LOANS_3YR_ANN_GROWTH">"c525"</definedName>
    <definedName name="IQ_GROSS_LOANS_5YR_ANN_GROWTH">"c526"</definedName>
    <definedName name="IQ_GROSS_LOANS_7YR_ANN_GROWTH">"c527"</definedName>
    <definedName name="IQ_GROSS_LOANS_TOTAL_DEPOSITS">"c528"</definedName>
    <definedName name="IQ_GROSS_MARGIN">"c529"</definedName>
    <definedName name="IQ_GROSS_PC_EARNED">"c2747"</definedName>
    <definedName name="IQ_GROSS_PROFIT">"c1378"</definedName>
    <definedName name="IQ_GROSS_SPRD">"c2155"</definedName>
    <definedName name="IQ_GROSS_WRITTEN">"c2726"</definedName>
    <definedName name="IQ_GW">"c530"</definedName>
    <definedName name="IQ_GW_AMORT_BR">"c532"</definedName>
    <definedName name="IQ_GW_AMORT_FIN">"c540"</definedName>
    <definedName name="IQ_GW_AMORT_INS">"c541"</definedName>
    <definedName name="IQ_GW_AMORT_REIT">"c542"</definedName>
    <definedName name="IQ_GW_AMORT_UTI">"c543"</definedName>
    <definedName name="IQ_GW_INTAN_AMORT">"c1469"</definedName>
    <definedName name="IQ_GW_INTAN_AMORT_BNK">"c544"</definedName>
    <definedName name="IQ_GW_INTAN_AMORT_BR">"c1470"</definedName>
    <definedName name="IQ_GW_INTAN_AMORT_CF">"c1471"</definedName>
    <definedName name="IQ_GW_INTAN_AMORT_CF_BNK">"c1472"</definedName>
    <definedName name="IQ_GW_INTAN_AMORT_CF_BR">"c1473"</definedName>
    <definedName name="IQ_GW_INTAN_AMORT_CF_FIN">"c1474"</definedName>
    <definedName name="IQ_GW_INTAN_AMORT_CF_INS">"c1475"</definedName>
    <definedName name="IQ_GW_INTAN_AMORT_CF_REIT">"c1476"</definedName>
    <definedName name="IQ_GW_INTAN_AMORT_CF_UTI">"c1477"</definedName>
    <definedName name="IQ_GW_INTAN_AMORT_FIN">"c1478"</definedName>
    <definedName name="IQ_GW_INTAN_AMORT_INS">"c1479"</definedName>
    <definedName name="IQ_GW_INTAN_AMORT_REIT">"c1480"</definedName>
    <definedName name="IQ_GW_INTAN_AMORT_UTI">"c1481"</definedName>
    <definedName name="IQ_HIGH_TARGET_PRICE">"c1651"</definedName>
    <definedName name="IQ_HIGHPRICE">"c545"</definedName>
    <definedName name="IQ_HOMEOWNERS_WRITTEN">"c546"</definedName>
    <definedName name="IQ_IMPAIR_OIL">"c547"</definedName>
    <definedName name="IQ_IMPAIRMENT_GW">"c548"</definedName>
    <definedName name="IQ_IMPUT_OPER_LEASE_DEPR">"c2987"</definedName>
    <definedName name="IQ_IMPUT_OPER_LEASE_INT_EXP">"c2986"</definedName>
    <definedName name="IQ_INC_AFTER_TAX">"c1598"</definedName>
    <definedName name="IQ_INC_AVAIL_EXCL">"c1395"</definedName>
    <definedName name="IQ_INC_AVAIL_INCL">"c1396"</definedName>
    <definedName name="IQ_INC_BEFORE_TAX">"c1375"</definedName>
    <definedName name="IQ_INC_EQUITY">"c549"</definedName>
    <definedName name="IQ_INC_EQUITY_BR">"c550"</definedName>
    <definedName name="IQ_INC_EQUITY_CF">"c551"</definedName>
    <definedName name="IQ_INC_EQUITY_FIN">"c552"</definedName>
    <definedName name="IQ_INC_EQUITY_INS">"c553"</definedName>
    <definedName name="IQ_INC_EQUITY_REC_BNK">"c554"</definedName>
    <definedName name="IQ_INC_EQUITY_REIT">"c555"</definedName>
    <definedName name="IQ_INC_EQUITY_REV_BNK">"c556"</definedName>
    <definedName name="IQ_INC_EQUITY_UTI">"c557"</definedName>
    <definedName name="IQ_INC_REAL_ESTATE_REC">"c558"</definedName>
    <definedName name="IQ_INC_REAL_ESTATE_REV">"c559"</definedName>
    <definedName name="IQ_INC_TAX">"c560"</definedName>
    <definedName name="IQ_INC_TAX_EXCL">"c1599"</definedName>
    <definedName name="IQ_INC_TAX_PAY_CURRENT">"c561"</definedName>
    <definedName name="IQ_INC_TRADE_ACT">"c562"</definedName>
    <definedName name="IQ_INS_ANNUITY_LIAB">"c563"</definedName>
    <definedName name="IQ_INS_ANNUITY_REV">"c2788"</definedName>
    <definedName name="IQ_INS_DIV_EXP">"c564"</definedName>
    <definedName name="IQ_INS_DIV_REV">"c565"</definedName>
    <definedName name="IQ_INS_IN_FORCE">"c566"</definedName>
    <definedName name="IQ_INS_LIAB">"c567"</definedName>
    <definedName name="IQ_INS_POLICY_EXP">"c568"</definedName>
    <definedName name="IQ_INS_REV">"c569"</definedName>
    <definedName name="IQ_INS_SETTLE">"c570"</definedName>
    <definedName name="IQ_INS_SETTLE_BNK">"c571"</definedName>
    <definedName name="IQ_INS_SETTLE_BR">"c572"</definedName>
    <definedName name="IQ_INS_SETTLE_FIN">"c573"</definedName>
    <definedName name="IQ_INS_SETTLE_INS">"c574"</definedName>
    <definedName name="IQ_INS_SETTLE_REIT">"c575"</definedName>
    <definedName name="IQ_INS_SETTLE_UTI">"c576"</definedName>
    <definedName name="IQ_INSIDER_3MTH_BOUGHT_PCT">"c1534"</definedName>
    <definedName name="IQ_INSIDER_3MTH_NET_PCT">"c1535"</definedName>
    <definedName name="IQ_INSIDER_3MTH_SOLD_PCT">"c1533"</definedName>
    <definedName name="IQ_INSIDER_6MTH_BOUGHT_PCT">"c1537"</definedName>
    <definedName name="IQ_INSIDER_6MTH_NET_PCT">"c1538"</definedName>
    <definedName name="IQ_INSIDER_6MTH_SOLD_PCT">"c1536"</definedName>
    <definedName name="IQ_INSIDER_OVER_TOTAL">"c1581"</definedName>
    <definedName name="IQ_INSIDER_OWNER">"c577"</definedName>
    <definedName name="IQ_INSIDER_PERCENT">"c578"</definedName>
    <definedName name="IQ_INSIDER_SHARES">"c579"</definedName>
    <definedName name="IQ_INSTITUTIONAL_OVER_TOTAL">"c1580"</definedName>
    <definedName name="IQ_INSTITUTIONAL_OWNER">"c580"</definedName>
    <definedName name="IQ_INSTITUTIONAL_PERCENT">"c581"</definedName>
    <definedName name="IQ_INSTITUTIONAL_SHARES">"c582"</definedName>
    <definedName name="IQ_INSUR_RECEIV">"c1600"</definedName>
    <definedName name="IQ_INT_BORROW">"c583"</definedName>
    <definedName name="IQ_INT_DEPOSITS">"c584"</definedName>
    <definedName name="IQ_INT_DIV_INC">"c585"</definedName>
    <definedName name="IQ_INT_EXP_BR">"c586"</definedName>
    <definedName name="IQ_INT_EXP_COVERAGE">"c587"</definedName>
    <definedName name="IQ_INT_EXP_FIN">"c588"</definedName>
    <definedName name="IQ_INT_EXP_INCL_CAP">"c2988"</definedName>
    <definedName name="IQ_INT_EXP_INS">"c589"</definedName>
    <definedName name="IQ_INT_EXP_LTD">"c2086"</definedName>
    <definedName name="IQ_INT_EXP_REIT">"c590"</definedName>
    <definedName name="IQ_INT_EXP_TOTAL">"c591"</definedName>
    <definedName name="IQ_INT_EXP_UTI">"c592"</definedName>
    <definedName name="IQ_INT_INC_BR">"c593"</definedName>
    <definedName name="IQ_INT_INC_FIN">"c594"</definedName>
    <definedName name="IQ_INT_INC_INVEST">"c595"</definedName>
    <definedName name="IQ_INT_INC_LOANS">"c596"</definedName>
    <definedName name="IQ_INT_INC_REIT">"c597"</definedName>
    <definedName name="IQ_INT_INC_TOTAL">"c598"</definedName>
    <definedName name="IQ_INT_INC_UTI">"c599"</definedName>
    <definedName name="IQ_INT_INV_INC">"c600"</definedName>
    <definedName name="IQ_INT_INV_INC_REIT">"c601"</definedName>
    <definedName name="IQ_INT_INV_INC_UTI">"c602"</definedName>
    <definedName name="IQ_INT_ON_BORROWING_COVERAGE">"c603"</definedName>
    <definedName name="IQ_INT_RATE_SPREAD">"c604"</definedName>
    <definedName name="IQ_INTANGIBLES_NET">"c1407"</definedName>
    <definedName name="IQ_INTEREST_CASH_DEPOSITS">"c2255"</definedName>
    <definedName name="IQ_INTEREST_EXP">"c618"</definedName>
    <definedName name="IQ_INTEREST_EXP_NET">"c1450"</definedName>
    <definedName name="IQ_INTEREST_EXP_NON">"c1383"</definedName>
    <definedName name="IQ_INTEREST_EXP_SUPPL">"c1460"</definedName>
    <definedName name="IQ_INTEREST_INC">"c1393"</definedName>
    <definedName name="IQ_INTEREST_INC_NON">"c1384"</definedName>
    <definedName name="IQ_INTEREST_INVEST_INC">"c619"</definedName>
    <definedName name="IQ_INV_10YR_ANN_GROWTH">"c1930"</definedName>
    <definedName name="IQ_INV_1YR_ANN_GROWTH">"c1925"</definedName>
    <definedName name="IQ_INV_2YR_ANN_GROWTH">"c1926"</definedName>
    <definedName name="IQ_INV_3YR_ANN_GROWTH">"c1927"</definedName>
    <definedName name="IQ_INV_5YR_ANN_GROWTH">"c1928"</definedName>
    <definedName name="IQ_INV_7YR_ANN_GROWTH">"c1929"</definedName>
    <definedName name="IQ_INV_BANKING_FEE">"c620"</definedName>
    <definedName name="IQ_INV_METHOD">"c621"</definedName>
    <definedName name="IQ_INVENTORY">"c622"</definedName>
    <definedName name="IQ_INVENTORY_TURNS">"c623"</definedName>
    <definedName name="IQ_INVENTORY_UTI">"c624"</definedName>
    <definedName name="IQ_INVEST_DEBT">"c625"</definedName>
    <definedName name="IQ_INVEST_EQUITY_PREF">"c626"</definedName>
    <definedName name="IQ_INVEST_FHLB">"c627"</definedName>
    <definedName name="IQ_INVEST_LOANS_CF">"c628"</definedName>
    <definedName name="IQ_INVEST_LOANS_CF_BNK">"c629"</definedName>
    <definedName name="IQ_INVEST_LOANS_CF_BR">"c630"</definedName>
    <definedName name="IQ_INVEST_LOANS_CF_FIN">"c631"</definedName>
    <definedName name="IQ_INVEST_LOANS_CF_INS">"c632"</definedName>
    <definedName name="IQ_INVEST_LOANS_CF_REIT">"c633"</definedName>
    <definedName name="IQ_INVEST_LOANS_CF_UTI">"c634"</definedName>
    <definedName name="IQ_INVEST_REAL_ESTATE">"c635"</definedName>
    <definedName name="IQ_INVEST_SECURITY">"c636"</definedName>
    <definedName name="IQ_INVEST_SECURITY_CF">"c637"</definedName>
    <definedName name="IQ_INVEST_SECURITY_CF_BNK">"c638"</definedName>
    <definedName name="IQ_INVEST_SECURITY_CF_BR">"c639"</definedName>
    <definedName name="IQ_INVEST_SECURITY_CF_FIN">"c640"</definedName>
    <definedName name="IQ_INVEST_SECURITY_CF_INS">"c641"</definedName>
    <definedName name="IQ_INVEST_SECURITY_CF_REIT">"c642"</definedName>
    <definedName name="IQ_INVEST_SECURITY_CF_UTI">"c643"</definedName>
    <definedName name="IQ_IPRD">"c644"</definedName>
    <definedName name="IQ_ISS_DEBT_NET">"c1391"</definedName>
    <definedName name="IQ_ISS_STOCK_NET">"c1601"</definedName>
    <definedName name="IQ_ISSUE_CURRENCY">"c2156"</definedName>
    <definedName name="IQ_ISSUE_NAME">"c2142"</definedName>
    <definedName name="IQ_ISSUER">"c2143"</definedName>
    <definedName name="IQ_ISSUER_CIQID">"c2258"</definedName>
    <definedName name="IQ_ISSUER_PARENT">"c2144"</definedName>
    <definedName name="IQ_ISSUER_PARENT_CIQID">"c2260"</definedName>
    <definedName name="IQ_ISSUER_PARENT_TICKER">"c2259"</definedName>
    <definedName name="IQ_ISSUER_TICKER">"c2252"</definedName>
    <definedName name="IQ_JR_SUB_DEBT">"c2534"</definedName>
    <definedName name="IQ_JR_SUB_DEBT_EBITDA">"c2560"</definedName>
    <definedName name="IQ_JR_SUB_DEBT_EBITDA_CAPEX">"c2561"</definedName>
    <definedName name="IQ_JR_SUB_DEBT_PCT">"c2535"</definedName>
    <definedName name="IQ_LAND">"c645"</definedName>
    <definedName name="IQ_LAST_PMT_DATE">"c2188"</definedName>
    <definedName name="IQ_LAST_SPLIT_DATE">"c2095"</definedName>
    <definedName name="IQ_LAST_SPLIT_FACTOR">"c2093"</definedName>
    <definedName name="IQ_LASTPRICINGDATE">"c3051"</definedName>
    <definedName name="IQ_LASTSALEPRICE">"c646"</definedName>
    <definedName name="IQ_LASTSALEPRICE_DATE">"c2109"</definedName>
    <definedName name="IQ_LATESTK">1000</definedName>
    <definedName name="IQ_LATESTQ">500</definedName>
    <definedName name="IQ_LEGAL_SETTLE">"c647"</definedName>
    <definedName name="IQ_LEGAL_SETTLE_BNK">"c648"</definedName>
    <definedName name="IQ_LEGAL_SETTLE_BR">"c649"</definedName>
    <definedName name="IQ_LEGAL_SETTLE_FIN">"c650"</definedName>
    <definedName name="IQ_LEGAL_SETTLE_INS">"c651"</definedName>
    <definedName name="IQ_LEGAL_SETTLE_REIT">"c652"</definedName>
    <definedName name="IQ_LEGAL_SETTLE_UTI">"c653"</definedName>
    <definedName name="IQ_LEVERAGE_RATIO">"c654"</definedName>
    <definedName name="IQ_LEVERED_FCF">"c1907"</definedName>
    <definedName name="IQ_LFCF_10YR_ANN_GROWTH">"c1942"</definedName>
    <definedName name="IQ_LFCF_1YR_ANN_GROWTH">"c1937"</definedName>
    <definedName name="IQ_LFCF_2YR_ANN_GROWTH">"c1938"</definedName>
    <definedName name="IQ_LFCF_3YR_ANN_GROWTH">"c1939"</definedName>
    <definedName name="IQ_LFCF_5YR_ANN_GROWTH">"c1940"</definedName>
    <definedName name="IQ_LFCF_7YR_ANN_GROWTH">"c1941"</definedName>
    <definedName name="IQ_LFCF_MARGIN">"c1961"</definedName>
    <definedName name="IQ_LH_STATUTORY_SURPLUS">"c2771"</definedName>
    <definedName name="IQ_LICENSED_POPS">"c2123"</definedName>
    <definedName name="IQ_LIFE_EARNED">"c2739"</definedName>
    <definedName name="IQ_LIFOR">"c655"</definedName>
    <definedName name="IQ_LL">"c656"</definedName>
    <definedName name="IQ_LOAN_LEASE_RECEIV">"c657"</definedName>
    <definedName name="IQ_LOAN_LOSS">"c1386"</definedName>
    <definedName name="IQ_LOAN_SERVICE_REV">"c658"</definedName>
    <definedName name="IQ_LOANS_CF">"c659"</definedName>
    <definedName name="IQ_LOANS_CF_BNK">"c660"</definedName>
    <definedName name="IQ_LOANS_CF_BR">"c661"</definedName>
    <definedName name="IQ_LOANS_CF_FIN">"c662"</definedName>
    <definedName name="IQ_LOANS_CF_INS">"c663"</definedName>
    <definedName name="IQ_LOANS_CF_REIT">"c664"</definedName>
    <definedName name="IQ_LOANS_CF_UTI">"c665"</definedName>
    <definedName name="IQ_LOANS_FOR_SALE">"c666"</definedName>
    <definedName name="IQ_LOANS_PAST_DUE">"c667"</definedName>
    <definedName name="IQ_LOANS_RECEIV_CURRENT">"c668"</definedName>
    <definedName name="IQ_LOANS_RECEIV_LT">"c669"</definedName>
    <definedName name="IQ_LOANS_RECEIV_LT_UTI">"c670"</definedName>
    <definedName name="IQ_LONG_TERM_DEBT">"c1387"</definedName>
    <definedName name="IQ_LONG_TERM_DEBT_OVER_TOTAL_CAP">"c1388"</definedName>
    <definedName name="IQ_LONG_TERM_GROWTH">"c671"</definedName>
    <definedName name="IQ_LONG_TERM_INV">"c1389"</definedName>
    <definedName name="IQ_LOSS_LOSS_EXP">"c672"</definedName>
    <definedName name="IQ_LOSS_TO_NET_EARNED">"c2751"</definedName>
    <definedName name="IQ_LOW_TARGET_PRICE">"c1652"</definedName>
    <definedName name="IQ_LOWPRICE">"c673"</definedName>
    <definedName name="IQ_LT_DEBT">"c674"</definedName>
    <definedName name="IQ_LT_DEBT_BNK">"c675"</definedName>
    <definedName name="IQ_LT_DEBT_BR">"c676"</definedName>
    <definedName name="IQ_LT_DEBT_CAPITAL">"c677"</definedName>
    <definedName name="IQ_LT_DEBT_CAPITAL_LEASES">"c2542"</definedName>
    <definedName name="IQ_LT_DEBT_CAPITAL_LEASES_PCT">"c2543"</definedName>
    <definedName name="IQ_LT_DEBT_EQUITY">"c678"</definedName>
    <definedName name="IQ_LT_DEBT_FIN">"c679"</definedName>
    <definedName name="IQ_LT_DEBT_INS">"c680"</definedName>
    <definedName name="IQ_LT_DEBT_ISSUED">"c681"</definedName>
    <definedName name="IQ_LT_DEBT_ISSUED_BNK">"c682"</definedName>
    <definedName name="IQ_LT_DEBT_ISSUED_BR">"c683"</definedName>
    <definedName name="IQ_LT_DEBT_ISSUED_FIN">"c684"</definedName>
    <definedName name="IQ_LT_DEBT_ISSUED_INS">"c685"</definedName>
    <definedName name="IQ_LT_DEBT_ISSUED_REIT">"c686"</definedName>
    <definedName name="IQ_LT_DEBT_ISSUED_UTI">"c687"</definedName>
    <definedName name="IQ_LT_DEBT_REIT">"c688"</definedName>
    <definedName name="IQ_LT_DEBT_REPAID">"c689"</definedName>
    <definedName name="IQ_LT_DEBT_REPAID_BNK">"c690"</definedName>
    <definedName name="IQ_LT_DEBT_REPAID_BR">"c691"</definedName>
    <definedName name="IQ_LT_DEBT_REPAID_FIN">"c692"</definedName>
    <definedName name="IQ_LT_DEBT_REPAID_INS">"c693"</definedName>
    <definedName name="IQ_LT_DEBT_REPAID_REIT">"c694"</definedName>
    <definedName name="IQ_LT_DEBT_REPAID_UTI">"c695"</definedName>
    <definedName name="IQ_LT_DEBT_UTI">"c696"</definedName>
    <definedName name="IQ_LT_INVEST">"c697"</definedName>
    <definedName name="IQ_LT_INVEST_BR">"c698"</definedName>
    <definedName name="IQ_LT_INVEST_FIN">"c699"</definedName>
    <definedName name="IQ_LT_INVEST_REIT">"c700"</definedName>
    <definedName name="IQ_LT_INVEST_UTI">"c701"</definedName>
    <definedName name="IQ_LT_NOTE_RECEIV">"c1602"</definedName>
    <definedName name="IQ_LTD_DUE_AFTER_FIVE">"c704"</definedName>
    <definedName name="IQ_LTD_DUE_CY">"c705"</definedName>
    <definedName name="IQ_LTD_DUE_CY1">"c706"</definedName>
    <definedName name="IQ_LTD_DUE_CY2">"c707"</definedName>
    <definedName name="IQ_LTD_DUE_CY3">"c708"</definedName>
    <definedName name="IQ_LTD_DUE_CY4">"c709"</definedName>
    <definedName name="IQ_LTD_DUE_NEXT_FIVE">"c710"</definedName>
    <definedName name="IQ_LTM">2000</definedName>
    <definedName name="IQ_LTM_REVENUE_OVER_EMPLOYEES">"c1437"</definedName>
    <definedName name="IQ_LTMMONTH">120000</definedName>
    <definedName name="IQ_MACHINERY">"c711"</definedName>
    <definedName name="IQ_MAINT_CAPEX">"c2947"</definedName>
    <definedName name="IQ_MAINT_REPAIR">"c2087"</definedName>
    <definedName name="IQ_MAKE_WHOLE_END_DATE">"c2493"</definedName>
    <definedName name="IQ_MAKE_WHOLE_SPREAD">"c2494"</definedName>
    <definedName name="IQ_MAKE_WHOLE_START_DATE">"c2492"</definedName>
    <definedName name="IQ_MARKET_CAP_LFCF">"c2209"</definedName>
    <definedName name="IQ_MARKETCAP">"c712"</definedName>
    <definedName name="IQ_MARKETING">"c2239"</definedName>
    <definedName name="IQ_MATURITY_DATE">"c2146"</definedName>
    <definedName name="IQ_MC_RATIO">"c2783"</definedName>
    <definedName name="IQ_MC_STATUTORY_SURPLUS">"c2772"</definedName>
    <definedName name="IQ_MEDIAN_TARGET_PRICE">"c1650"</definedName>
    <definedName name="IQ_MERGER">"c713"</definedName>
    <definedName name="IQ_MERGER_BNK">"c714"</definedName>
    <definedName name="IQ_MERGER_BR">"c715"</definedName>
    <definedName name="IQ_MERGER_FIN">"c716"</definedName>
    <definedName name="IQ_MERGER_INS">"c717"</definedName>
    <definedName name="IQ_MERGER_REIT">"c718"</definedName>
    <definedName name="IQ_MERGER_RESTRUCTURE">"c719"</definedName>
    <definedName name="IQ_MERGER_RESTRUCTURE_BNK">"c720"</definedName>
    <definedName name="IQ_MERGER_RESTRUCTURE_BR">"c721"</definedName>
    <definedName name="IQ_MERGER_RESTRUCTURE_FIN">"c722"</definedName>
    <definedName name="IQ_MERGER_RESTRUCTURE_INS">"c723"</definedName>
    <definedName name="IQ_MERGER_RESTRUCTURE_REIT">"c724"</definedName>
    <definedName name="IQ_MERGER_RESTRUCTURE_UTI">"c725"</definedName>
    <definedName name="IQ_MERGER_UTI">"c726"</definedName>
    <definedName name="IQ_MINORITY_INTEREST">"c727"</definedName>
    <definedName name="IQ_MINORITY_INTEREST_BNK">"c728"</definedName>
    <definedName name="IQ_MINORITY_INTEREST_BR">"c729"</definedName>
    <definedName name="IQ_MINORITY_INTEREST_CF">"c730"</definedName>
    <definedName name="IQ_MINORITY_INTEREST_FIN">"c731"</definedName>
    <definedName name="IQ_MINORITY_INTEREST_INS">"c732"</definedName>
    <definedName name="IQ_MINORITY_INTEREST_IS">"c733"</definedName>
    <definedName name="IQ_MINORITY_INTEREST_REIT">"c734"</definedName>
    <definedName name="IQ_MINORITY_INTEREST_TOTAL">"c1905"</definedName>
    <definedName name="IQ_MINORITY_INTEREST_UTI">"c735"</definedName>
    <definedName name="IQ_MISC_ADJUST_CF">"c736"</definedName>
    <definedName name="IQ_MISC_EARN_ADJ">"c1603"</definedName>
    <definedName name="IQ_MKTCAP_EBT_EXCL">"c737"</definedName>
    <definedName name="IQ_MKTCAP_EBT_EXCL_AVG">"c738"</definedName>
    <definedName name="IQ_MKTCAP_EBT_INCL_AVG">"c739"</definedName>
    <definedName name="IQ_MKTCAP_TOTAL_REV">"c740"</definedName>
    <definedName name="IQ_MKTCAP_TOTAL_REV_AVG">"c741"</definedName>
    <definedName name="IQ_MKTCAP_TOTAL_REV_FWD">"c742"</definedName>
    <definedName name="IQ_MM_ACCOUNT">"c743"</definedName>
    <definedName name="IQ_MONTH">15000</definedName>
    <definedName name="IQ_MORT_BANK_ACT">"c744"</definedName>
    <definedName name="IQ_MORT_BANKING_FEE">"c745"</definedName>
    <definedName name="IQ_MORT_INT_INC">"c746"</definedName>
    <definedName name="IQ_MORT_LOANS">"c747"</definedName>
    <definedName name="IQ_MORT_SECURITY">"c748"</definedName>
    <definedName name="IQ_MORTGAGE_SERV_RIGHTS">"c2242"</definedName>
    <definedName name="IQ_MTD">800000</definedName>
    <definedName name="IQ_NAMES_REVISION_DATE_">41089.8781481481</definedName>
    <definedName name="IQ_NET_CHANGE">"c749"</definedName>
    <definedName name="IQ_NET_CLAIM_EXP_INCUR">"c2757"</definedName>
    <definedName name="IQ_NET_CLAIM_EXP_INCUR_CY">"c2761"</definedName>
    <definedName name="IQ_NET_CLAIM_EXP_INCUR_PY">"c2762"</definedName>
    <definedName name="IQ_NET_CLAIM_EXP_PAID">"c2760"</definedName>
    <definedName name="IQ_NET_CLAIM_EXP_PAID_CY">"c2763"</definedName>
    <definedName name="IQ_NET_CLAIM_EXP_PAID_PY">"c2764"</definedName>
    <definedName name="IQ_NET_CLAIM_EXP_RES">"c2754"</definedName>
    <definedName name="IQ_NET_DEBT">"c1584"</definedName>
    <definedName name="IQ_NET_DEBT_EBITDA">"c750"</definedName>
    <definedName name="IQ_NET_DEBT_EBITDA_CAPEX">"c2949"</definedName>
    <definedName name="IQ_NET_DEBT_ISSUED">"c751"</definedName>
    <definedName name="IQ_NET_DEBT_ISSUED_BNK">"c752"</definedName>
    <definedName name="IQ_NET_DEBT_ISSUED_BR">"c753"</definedName>
    <definedName name="IQ_NET_DEBT_ISSUED_FIN">"c754"</definedName>
    <definedName name="IQ_NET_DEBT_ISSUED_INS">"c755"</definedName>
    <definedName name="IQ_NET_DEBT_ISSUED_REIT">"c756"</definedName>
    <definedName name="IQ_NET_DEBT_ISSUED_UTI">"c757"</definedName>
    <definedName name="IQ_NET_EARNED">"c2734"</definedName>
    <definedName name="IQ_NET_INC">"c1394"</definedName>
    <definedName name="IQ_NET_INC_BEFORE">"c1368"</definedName>
    <definedName name="IQ_NET_INC_CF">"c1397"</definedName>
    <definedName name="IQ_NET_INC_MARGIN">"c1398"</definedName>
    <definedName name="IQ_NET_INT_INC_10YR_ANN_GROWTH">"c758"</definedName>
    <definedName name="IQ_NET_INT_INC_1YR_ANN_GROWTH">"c759"</definedName>
    <definedName name="IQ_NET_INT_INC_2YR_ANN_GROWTH">"c760"</definedName>
    <definedName name="IQ_NET_INT_INC_3YR_ANN_GROWTH">"c761"</definedName>
    <definedName name="IQ_NET_INT_INC_5YR_ANN_GROWTH">"c762"</definedName>
    <definedName name="IQ_NET_INT_INC_7YR_ANN_GROWTH">"c763"</definedName>
    <definedName name="IQ_NET_INT_INC_BNK">"c764"</definedName>
    <definedName name="IQ_NET_INT_INC_BR">"c765"</definedName>
    <definedName name="IQ_NET_INT_INC_FIN">"c766"</definedName>
    <definedName name="IQ_NET_INT_INC_TOTAL_REV">"c767"</definedName>
    <definedName name="IQ_NET_INT_MARGIN">"c768"</definedName>
    <definedName name="IQ_NET_INTEREST_EXP">"c769"</definedName>
    <definedName name="IQ_NET_INTEREST_EXP_REIT">"c770"</definedName>
    <definedName name="IQ_NET_INTEREST_EXP_UTI">"c771"</definedName>
    <definedName name="IQ_NET_INTEREST_INC">"c1392"</definedName>
    <definedName name="IQ_NET_INTEREST_INC_AFTER_LL">"c1604"</definedName>
    <definedName name="IQ_NET_LIFE_INS_IN_FORCE">"c2769"</definedName>
    <definedName name="IQ_NET_LOANS">"c772"</definedName>
    <definedName name="IQ_NET_LOANS_10YR_ANN_GROWTH">"c773"</definedName>
    <definedName name="IQ_NET_LOANS_1YR_ANN_GROWTH">"c774"</definedName>
    <definedName name="IQ_NET_LOANS_2YR_ANN_GROWTH">"c775"</definedName>
    <definedName name="IQ_NET_LOANS_3YR_ANN_GROWTH">"c776"</definedName>
    <definedName name="IQ_NET_LOANS_5YR_ANN_GROWTH">"c777"</definedName>
    <definedName name="IQ_NET_LOANS_7YR_ANN_GROWTH">"c778"</definedName>
    <definedName name="IQ_NET_LOANS_TOTAL_DEPOSITS">"c779"</definedName>
    <definedName name="IQ_NET_RENTAL_EXP_FN">"c780"</definedName>
    <definedName name="IQ_NET_TO_GROSS_EARNED">"c2750"</definedName>
    <definedName name="IQ_NET_TO_GROSS_WRITTEN">"c2729"</definedName>
    <definedName name="IQ_NET_WORKING_CAP">"c3493"</definedName>
    <definedName name="IQ_NET_WRITTEN">"c2728"</definedName>
    <definedName name="IQ_NEW_PREM">"c2785"</definedName>
    <definedName name="IQ_NEXT_CALL_DATE">"c2198"</definedName>
    <definedName name="IQ_NEXT_CALL_PRICE">"c2199"</definedName>
    <definedName name="IQ_NEXT_INT_DATE">"c2187"</definedName>
    <definedName name="IQ_NEXT_PUT_DATE">"c2200"</definedName>
    <definedName name="IQ_NEXT_PUT_PRICE">"c2201"</definedName>
    <definedName name="IQ_NEXT_SINK_FUND_AMOUNT">"c2490"</definedName>
    <definedName name="IQ_NEXT_SINK_FUND_DATE">"c2489"</definedName>
    <definedName name="IQ_NEXT_SINK_FUND_PRICE">"c2491"</definedName>
    <definedName name="IQ_NI">"c781"</definedName>
    <definedName name="IQ_NI_10YR_ANN_GROWTH">"c782"</definedName>
    <definedName name="IQ_NI_1YR_ANN_GROWTH">"c783"</definedName>
    <definedName name="IQ_NI_2YR_ANN_GROWTH">"c784"</definedName>
    <definedName name="IQ_NI_3YR_ANN_GROWTH">"c785"</definedName>
    <definedName name="IQ_NI_5YR_ANN_GROWTH">"c786"</definedName>
    <definedName name="IQ_NI_7YR_ANN_GROWTH">"c787"</definedName>
    <definedName name="IQ_NI_AFTER_CAPITALIZED">"c788"</definedName>
    <definedName name="IQ_NI_AVAIL_EXCL">"c789"</definedName>
    <definedName name="IQ_NI_AVAIL_EXCL_MARGIN">"c790"</definedName>
    <definedName name="IQ_NI_AVAIL_INCL">"c791"</definedName>
    <definedName name="IQ_NI_BEFORE_CAPITALIZED">"c792"</definedName>
    <definedName name="IQ_NI_CF">"c793"</definedName>
    <definedName name="IQ_NI_MARGIN">"c794"</definedName>
    <definedName name="IQ_NI_NORM">"c1901"</definedName>
    <definedName name="IQ_NI_NORM_10YR_ANN_GROWTH">"c1960"</definedName>
    <definedName name="IQ_NI_NORM_1YR_ANN_GROWTH">"c1955"</definedName>
    <definedName name="IQ_NI_NORM_2YR_ANN_GROWTH">"c1956"</definedName>
    <definedName name="IQ_NI_NORM_3YR_ANN_GROWTH">"c1957"</definedName>
    <definedName name="IQ_NI_NORM_5YR_ANN_GROWTH">"c1958"</definedName>
    <definedName name="IQ_NI_NORM_7YR_ANN_GROWTH">"c1959"</definedName>
    <definedName name="IQ_NI_NORM_MARGIN">"c1964"</definedName>
    <definedName name="IQ_NI_SFAS">"c795"</definedName>
    <definedName name="IQ_NOL_CF_1YR">"c3465"</definedName>
    <definedName name="IQ_NOL_CF_2YR">"c3466"</definedName>
    <definedName name="IQ_NOL_CF_3YR">"c3467"</definedName>
    <definedName name="IQ_NOL_CF_4YR">"c3468"</definedName>
    <definedName name="IQ_NOL_CF_5YR">"c3469"</definedName>
    <definedName name="IQ_NOL_CF_AFTER_FIVE">"c3470"</definedName>
    <definedName name="IQ_NOL_CF_MAX_YEAR">"c3473"</definedName>
    <definedName name="IQ_NOL_CF_NO_EXP">"c3471"</definedName>
    <definedName name="IQ_NOL_CF_TOTAL">"c3472"</definedName>
    <definedName name="IQ_NON_ACCRUAL_LOANS">"c796"</definedName>
    <definedName name="IQ_NON_CASH">"c1399"</definedName>
    <definedName name="IQ_NON_CASH_ITEMS">"c797"</definedName>
    <definedName name="IQ_NON_INS_EXP">"c798"</definedName>
    <definedName name="IQ_NON_INS_REV">"c799"</definedName>
    <definedName name="IQ_NON_INT_BEAR_CD">"c800"</definedName>
    <definedName name="IQ_NON_INT_EXP">"c801"</definedName>
    <definedName name="IQ_NON_INT_INC">"c802"</definedName>
    <definedName name="IQ_NON_INT_INC_10YR_ANN_GROWTH">"c803"</definedName>
    <definedName name="IQ_NON_INT_INC_1YR_ANN_GROWTH">"c804"</definedName>
    <definedName name="IQ_NON_INT_INC_2YR_ANN_GROWTH">"c805"</definedName>
    <definedName name="IQ_NON_INT_INC_3YR_ANN_GROWTH">"c806"</definedName>
    <definedName name="IQ_NON_INT_INC_5YR_ANN_GROWTH">"c807"</definedName>
    <definedName name="IQ_NON_INT_INC_7YR_ANN_GROWTH">"c808"</definedName>
    <definedName name="IQ_NON_INTEREST_EXP">"c1400"</definedName>
    <definedName name="IQ_NON_INTEREST_INC">"c1401"</definedName>
    <definedName name="IQ_NON_OPER_EXP">"c809"</definedName>
    <definedName name="IQ_NON_OPER_INC">"c810"</definedName>
    <definedName name="IQ_NON_PERF_ASSETS_10YR_ANN_GROWTH">"c811"</definedName>
    <definedName name="IQ_NON_PERF_ASSETS_1YR_ANN_GROWTH">"c812"</definedName>
    <definedName name="IQ_NON_PERF_ASSETS_2YR_ANN_GROWTH">"c813"</definedName>
    <definedName name="IQ_NON_PERF_ASSETS_3YR_ANN_GROWTH">"c814"</definedName>
    <definedName name="IQ_NON_PERF_ASSETS_5YR_ANN_GROWTH">"c815"</definedName>
    <definedName name="IQ_NON_PERF_ASSETS_7YR_ANN_GROWTH">"c816"</definedName>
    <definedName name="IQ_NON_PERF_ASSETS_TOTAL_ASSETS">"c817"</definedName>
    <definedName name="IQ_NON_PERF_LOANS_10YR_ANN_GROWTH">"c818"</definedName>
    <definedName name="IQ_NON_PERF_LOANS_1YR_ANN_GROWTH">"c819"</definedName>
    <definedName name="IQ_NON_PERF_LOANS_2YR_ANN_GROWTH">"c820"</definedName>
    <definedName name="IQ_NON_PERF_LOANS_3YR_ANN_GROWTH">"c821"</definedName>
    <definedName name="IQ_NON_PERF_LOANS_5YR_ANN_GROWTH">"c822"</definedName>
    <definedName name="IQ_NON_PERF_LOANS_7YR_ANN_GROWTH">"c823"</definedName>
    <definedName name="IQ_NON_PERF_LOANS_TOTAL_ASSETS">"c824"</definedName>
    <definedName name="IQ_NON_PERF_LOANS_TOTAL_LOANS">"c825"</definedName>
    <definedName name="IQ_NON_PERFORMING_ASSETS">"c826"</definedName>
    <definedName name="IQ_NON_PERFORMING_LOANS">"c827"</definedName>
    <definedName name="IQ_NONCASH_PENSION_EXP">"c3000"</definedName>
    <definedName name="IQ_NONRECOURSE_DEBT">"c2550"</definedName>
    <definedName name="IQ_NONRECOURSE_DEBT_PCT">"c2551"</definedName>
    <definedName name="IQ_NONUTIL_REV">"c2089"</definedName>
    <definedName name="IQ_NORMAL_INC_AFTER">"c1605"</definedName>
    <definedName name="IQ_NORMAL_INC_AVAIL">"c1606"</definedName>
    <definedName name="IQ_NORMAL_INC_BEFORE">"c1607"</definedName>
    <definedName name="IQ_NOTES_PAY">"c1423"</definedName>
    <definedName name="IQ_NOW_ACCOUNT">"c828"</definedName>
    <definedName name="IQ_NPPE">"c829"</definedName>
    <definedName name="IQ_NPPE_10YR_ANN_GROWTH">"c830"</definedName>
    <definedName name="IQ_NPPE_1YR_ANN_GROWTH">"c831"</definedName>
    <definedName name="IQ_NPPE_2YR_ANN_GROWTH">"c832"</definedName>
    <definedName name="IQ_NPPE_3YR_ANN_GROWTH">"c833"</definedName>
    <definedName name="IQ_NPPE_5YR_ANN_GROWTH">"c834"</definedName>
    <definedName name="IQ_NPPE_7YR_ANN_GROWTH">"c835"</definedName>
    <definedName name="IQ_NTM">6000</definedName>
    <definedName name="IQ_NUKE">"c836"</definedName>
    <definedName name="IQ_NUKE_CF">"c837"</definedName>
    <definedName name="IQ_NUKE_CONTR">"c838"</definedName>
    <definedName name="IQ_NUM_BRANCHES">"c2088"</definedName>
    <definedName name="IQ_NUMBER_ADRHOLDERS">"c1970"</definedName>
    <definedName name="IQ_NUMBER_DAYS">"c1904"</definedName>
    <definedName name="IQ_NUMBER_SHAREHOLDERS">"c1967"</definedName>
    <definedName name="IQ_NUMBER_SHAREHOLDERS_CLASSA">"c1968"</definedName>
    <definedName name="IQ_NUMBER_SHAREHOLDERS_OTHER">"c1969"</definedName>
    <definedName name="IQ_OCCUPY_EXP">"c839"</definedName>
    <definedName name="IQ_OFFER_AMOUNT">"c2152"</definedName>
    <definedName name="IQ_OFFER_COUPON">"c2147"</definedName>
    <definedName name="IQ_OFFER_COUPON_TYPE">"c2148"</definedName>
    <definedName name="IQ_OFFER_DATE">"c2149"</definedName>
    <definedName name="IQ_OFFER_PRICE">"c2150"</definedName>
    <definedName name="IQ_OFFER_YIELD">"c2151"</definedName>
    <definedName name="IQ_OG_10DISC">"c1998"</definedName>
    <definedName name="IQ_OG_10DISC_GAS">"c2018"</definedName>
    <definedName name="IQ_OG_10DISC_OIL">"c2008"</definedName>
    <definedName name="IQ_OG_ACQ_COST_PROVED">"c1975"</definedName>
    <definedName name="IQ_OG_ACQ_COST_PROVED_GAS">"c1987"</definedName>
    <definedName name="IQ_OG_ACQ_COST_PROVED_OIL">"c1981"</definedName>
    <definedName name="IQ_OG_ACQ_COST_UNPROVED">"c1976"</definedName>
    <definedName name="IQ_OG_ACQ_COST_UNPROVED_GAS">"c1988"</definedName>
    <definedName name="IQ_OG_ACQ_COST_UNPROVED_OIL">"c1982"</definedName>
    <definedName name="IQ_OG_AVG_DAILY_PROD_GAS">"c2910"</definedName>
    <definedName name="IQ_OG_AVG_DAILY_PROD_NGL">"c2911"</definedName>
    <definedName name="IQ_OG_AVG_DAILY_PROD_OIL">"c2909"</definedName>
    <definedName name="IQ_OG_CLOSE_BALANCE_GAS">"c2049"</definedName>
    <definedName name="IQ_OG_CLOSE_BALANCE_NGL">"c2920"</definedName>
    <definedName name="IQ_OG_CLOSE_BALANCE_OIL">"c2037"</definedName>
    <definedName name="IQ_OG_DCF_BEFORE_TAXES">"c2023"</definedName>
    <definedName name="IQ_OG_DCF_BEFORE_TAXES_GAS">"c2025"</definedName>
    <definedName name="IQ_OG_DCF_BEFORE_TAXES_OIL">"c2024"</definedName>
    <definedName name="IQ_OG_DEVELOPED_RESERVES_GAS">"c2053"</definedName>
    <definedName name="IQ_OG_DEVELOPED_RESERVES_NGL">"c2922"</definedName>
    <definedName name="IQ_OG_DEVELOPED_RESERVES_OIL">"c2054"</definedName>
    <definedName name="IQ_OG_DEVELOPMENT_COSTS">"c1978"</definedName>
    <definedName name="IQ_OG_DEVELOPMENT_COSTS_GAS">"c1990"</definedName>
    <definedName name="IQ_OG_DEVELOPMENT_COSTS_OIL">"c1984"</definedName>
    <definedName name="IQ_OG_EQUITY_DCF">"c2002"</definedName>
    <definedName name="IQ_OG_EQUITY_DCF_GAS">"c2022"</definedName>
    <definedName name="IQ_OG_EQUITY_DCF_OIL">"c2012"</definedName>
    <definedName name="IQ_OG_EQUTY_RESERVES_GAS">"c2050"</definedName>
    <definedName name="IQ_OG_EQUTY_RESERVES_NGL">"c2921"</definedName>
    <definedName name="IQ_OG_EQUTY_RESERVES_OIL">"c2038"</definedName>
    <definedName name="IQ_OG_EXPLORATION_COSTS">"c1977"</definedName>
    <definedName name="IQ_OG_EXPLORATION_COSTS_GAS">"c1989"</definedName>
    <definedName name="IQ_OG_EXPLORATION_COSTS_OIL">"c1983"</definedName>
    <definedName name="IQ_OG_EXT_DISC_GAS">"c2043"</definedName>
    <definedName name="IQ_OG_EXT_DISC_NGL">"c2914"</definedName>
    <definedName name="IQ_OG_EXT_DISC_OIL">"c2031"</definedName>
    <definedName name="IQ_OG_FUTURE_CASH_INFLOWS">"c1993"</definedName>
    <definedName name="IQ_OG_FUTURE_CASH_INFLOWS_GAS">"c2013"</definedName>
    <definedName name="IQ_OG_FUTURE_CASH_INFLOWS_OIL">"c2003"</definedName>
    <definedName name="IQ_OG_FUTURE_DEVELOPMENT_COSTS">"c1995"</definedName>
    <definedName name="IQ_OG_FUTURE_DEVELOPMENT_COSTS_GAS">"c2015"</definedName>
    <definedName name="IQ_OG_FUTURE_DEVELOPMENT_COSTS_OIL">"c2005"</definedName>
    <definedName name="IQ_OG_FUTURE_INC_TAXES">"c1997"</definedName>
    <definedName name="IQ_OG_FUTURE_INC_TAXES_GAS">"c2017"</definedName>
    <definedName name="IQ_OG_FUTURE_INC_TAXES_OIL">"c2007"</definedName>
    <definedName name="IQ_OG_FUTURE_PRODUCTION_COSTS">"c1994"</definedName>
    <definedName name="IQ_OG_FUTURE_PRODUCTION_COSTS_GAS">"c2014"</definedName>
    <definedName name="IQ_OG_FUTURE_PRODUCTION_COSTS_OIL">"c2004"</definedName>
    <definedName name="IQ_OG_GAS_PRICE_HEDGED">"c2056"</definedName>
    <definedName name="IQ_OG_GAS_PRICE_UNHEDGED">"c2058"</definedName>
    <definedName name="IQ_OG_IMPROVED_RECOVERY_GAS">"c2044"</definedName>
    <definedName name="IQ_OG_IMPROVED_RECOVERY_NGL">"c2915"</definedName>
    <definedName name="IQ_OG_IMPROVED_RECOVERY_OIL">"c2032"</definedName>
    <definedName name="IQ_OG_LIQUID_GAS_PRICE_HEDGED">"c2233"</definedName>
    <definedName name="IQ_OG_LIQUID_GAS_PRICE_UNHEDGED">"c2234"</definedName>
    <definedName name="IQ_OG_NET_FUTURE_CASH_FLOWS">"c1996"</definedName>
    <definedName name="IQ_OG_NET_FUTURE_CASH_FLOWS_GAS">"c2016"</definedName>
    <definedName name="IQ_OG_NET_FUTURE_CASH_FLOWS_OIL">"c2006"</definedName>
    <definedName name="IQ_OG_OIL_PRICE_HEDGED">"c2055"</definedName>
    <definedName name="IQ_OG_OIL_PRICE_UNHEDGED">"c2057"</definedName>
    <definedName name="IQ_OG_OPEN_BALANCE_GAS">"c2041"</definedName>
    <definedName name="IQ_OG_OPEN_BALANCE_NGL">"c2912"</definedName>
    <definedName name="IQ_OG_OPEN_BALANCE_OIL">"c2029"</definedName>
    <definedName name="IQ_OG_OTHER_ADJ_FCF">"c1999"</definedName>
    <definedName name="IQ_OG_OTHER_ADJ_FCF_GAS">"c2019"</definedName>
    <definedName name="IQ_OG_OTHER_ADJ_FCF_OIL">"c2009"</definedName>
    <definedName name="IQ_OG_OTHER_ADJ_GAS">"c2048"</definedName>
    <definedName name="IQ_OG_OTHER_ADJ_NGL">"c2919"</definedName>
    <definedName name="IQ_OG_OTHER_ADJ_OIL">"c2036"</definedName>
    <definedName name="IQ_OG_OTHER_COSTS">"c1979"</definedName>
    <definedName name="IQ_OG_OTHER_COSTS_GAS">"c1991"</definedName>
    <definedName name="IQ_OG_OTHER_COSTS_OIL">"c1985"</definedName>
    <definedName name="IQ_OG_PRODUCTION_GAS">"c2047"</definedName>
    <definedName name="IQ_OG_PRODUCTION_NGL">"c2918"</definedName>
    <definedName name="IQ_OG_PRODUCTION_OIL">"c2035"</definedName>
    <definedName name="IQ_OG_PURCHASES_GAS">"c2045"</definedName>
    <definedName name="IQ_OG_PURCHASES_NGL">"c2916"</definedName>
    <definedName name="IQ_OG_PURCHASES_OIL">"c2033"</definedName>
    <definedName name="IQ_OG_REVISIONS_GAS">"c2042"</definedName>
    <definedName name="IQ_OG_REVISIONS_NGL">"c2913"</definedName>
    <definedName name="IQ_OG_REVISIONS_OIL">"c2030"</definedName>
    <definedName name="IQ_OG_SALES_IN_PLACE_GAS">"c2046"</definedName>
    <definedName name="IQ_OG_SALES_IN_PLACE_NGL">"c2917"</definedName>
    <definedName name="IQ_OG_SALES_IN_PLACE_OIL">"c2034"</definedName>
    <definedName name="IQ_OG_STANDARDIZED_DCF">"c2000"</definedName>
    <definedName name="IQ_OG_STANDARDIZED_DCF_GAS">"c2020"</definedName>
    <definedName name="IQ_OG_STANDARDIZED_DCF_HEDGED">"c2001"</definedName>
    <definedName name="IQ_OG_STANDARDIZED_DCF_HEDGED_GAS">"c2021"</definedName>
    <definedName name="IQ_OG_STANDARDIZED_DCF_HEDGED_OIL">"c2011"</definedName>
    <definedName name="IQ_OG_STANDARDIZED_DCF_OIL">"c2010"</definedName>
    <definedName name="IQ_OG_TAXES">"c2026"</definedName>
    <definedName name="IQ_OG_TAXES_GAS">"c2028"</definedName>
    <definedName name="IQ_OG_TAXES_OIL">"c2027"</definedName>
    <definedName name="IQ_OG_TOTAL_COSTS">"c1980"</definedName>
    <definedName name="IQ_OG_TOTAL_COSTS_GAS">"c1992"</definedName>
    <definedName name="IQ_OG_TOTAL_COSTS_OIL">"c1986"</definedName>
    <definedName name="IQ_OG_TOTAL_EST_PROVED_RESERVES_GAS">"c2052"</definedName>
    <definedName name="IQ_OG_TOTAL_GAS_PRODUCTION">"c2060"</definedName>
    <definedName name="IQ_OG_TOTAL_LIQUID_GAS_PRODUCTION">"c2235"</definedName>
    <definedName name="IQ_OG_TOTAL_OIL_PRODUCTION">"c2059"</definedName>
    <definedName name="IQ_OG_UNDEVELOPED_RESERVES_GAS">"c2051"</definedName>
    <definedName name="IQ_OG_UNDEVELOPED_RESERVES_NGL">"c2923"</definedName>
    <definedName name="IQ_OG_UNDEVELOPED_RESERVES_OIL">"c2039"</definedName>
    <definedName name="IQ_OIL_IMPAIR">"c840"</definedName>
    <definedName name="IQ_OL_COMM_AFTER_FIVE">"c841"</definedName>
    <definedName name="IQ_OL_COMM_CY">"c842"</definedName>
    <definedName name="IQ_OL_COMM_CY1">"c843"</definedName>
    <definedName name="IQ_OL_COMM_CY2">"c844"</definedName>
    <definedName name="IQ_OL_COMM_CY3">"c845"</definedName>
    <definedName name="IQ_OL_COMM_CY4">"c846"</definedName>
    <definedName name="IQ_OL_COMM_NEXT_FIVE">"c847"</definedName>
    <definedName name="IQ_OPEB_ACCRUED_LIAB">"c3308"</definedName>
    <definedName name="IQ_OPEB_ACCRUED_LIAB_DOM">"c3306"</definedName>
    <definedName name="IQ_OPEB_ACCRUED_LIAB_FOREIGN">"c3307"</definedName>
    <definedName name="IQ_OPEB_ACCUM_OTHER_CI">"c3314"</definedName>
    <definedName name="IQ_OPEB_ACCUM_OTHER_CI_DOM">"c3312"</definedName>
    <definedName name="IQ_OPEB_ACCUM_OTHER_CI_FOREIGN">"c3313"</definedName>
    <definedName name="IQ_OPEB_ASSETS">"c3356"</definedName>
    <definedName name="IQ_OPEB_ASSETS_ACQ">"c3347"</definedName>
    <definedName name="IQ_OPEB_ASSETS_ACQ_DOM">"c3345"</definedName>
    <definedName name="IQ_OPEB_ASSETS_ACQ_FOREIGN">"c3346"</definedName>
    <definedName name="IQ_OPEB_ASSETS_ACTUAL_RETURN">"c3332"</definedName>
    <definedName name="IQ_OPEB_ASSETS_ACTUAL_RETURN_DOM">"c3330"</definedName>
    <definedName name="IQ_OPEB_ASSETS_ACTUAL_RETURN_FOREIGN">"c3331"</definedName>
    <definedName name="IQ_OPEB_ASSETS_BEG">"c3329"</definedName>
    <definedName name="IQ_OPEB_ASSETS_BEG_DOM">"c3327"</definedName>
    <definedName name="IQ_OPEB_ASSETS_BEG_FOREIGN">"c3328"</definedName>
    <definedName name="IQ_OPEB_ASSETS_BENEFITS_PAID">"c3341"</definedName>
    <definedName name="IQ_OPEB_ASSETS_BENEFITS_PAID_DOM">"c3339"</definedName>
    <definedName name="IQ_OPEB_ASSETS_BENEFITS_PAID_FOREIGN">"c3340"</definedName>
    <definedName name="IQ_OPEB_ASSETS_CURTAIL">"c3350"</definedName>
    <definedName name="IQ_OPEB_ASSETS_CURTAIL_DOM">"c3348"</definedName>
    <definedName name="IQ_OPEB_ASSETS_CURTAIL_FOREIGN">"c3349"</definedName>
    <definedName name="IQ_OPEB_ASSETS_DOM">"c3354"</definedName>
    <definedName name="IQ_OPEB_ASSETS_EMPLOYER_CONTRIBUTIONS">"c3335"</definedName>
    <definedName name="IQ_OPEB_ASSETS_EMPLOYER_CONTRIBUTIONS_DOM">"c3333"</definedName>
    <definedName name="IQ_OPEB_ASSETS_EMPLOYER_CONTRIBUTIONS_FOREIGN">"c3334"</definedName>
    <definedName name="IQ_OPEB_ASSETS_FOREIGN">"c3355"</definedName>
    <definedName name="IQ_OPEB_ASSETS_FX_ADJ">"c3344"</definedName>
    <definedName name="IQ_OPEB_ASSETS_FX_ADJ_DOM">"c3342"</definedName>
    <definedName name="IQ_OPEB_ASSETS_FX_ADJ_FOREIGN">"c3343"</definedName>
    <definedName name="IQ_OPEB_ASSETS_OTHER_PLAN_ADJ">"c3353"</definedName>
    <definedName name="IQ_OPEB_ASSETS_OTHER_PLAN_ADJ_DOM">"c3351"</definedName>
    <definedName name="IQ_OPEB_ASSETS_OTHER_PLAN_ADJ_FOREIGN">"c3352"</definedName>
    <definedName name="IQ_OPEB_ASSETS_PARTICIP_CONTRIBUTIONS">"c3338"</definedName>
    <definedName name="IQ_OPEB_ASSETS_PARTICIP_CONTRIBUTIONS_DOM">"c3336"</definedName>
    <definedName name="IQ_OPEB_ASSETS_PARTICIP_CONTRIBUTIONS_FOREIGN">"c3337"</definedName>
    <definedName name="IQ_OPEB_BENEFIT_INFO_DATE">"c3410"</definedName>
    <definedName name="IQ_OPEB_BENEFIT_INFO_DATE_DOM">"c3408"</definedName>
    <definedName name="IQ_OPEB_BENEFIT_INFO_DATE_FOREIGN">"c3409"</definedName>
    <definedName name="IQ_OPEB_BREAKDOWN_EQ">"c3275"</definedName>
    <definedName name="IQ_OPEB_BREAKDOWN_EQ_DOM">"c3273"</definedName>
    <definedName name="IQ_OPEB_BREAKDOWN_EQ_FOREIGN">"c3274"</definedName>
    <definedName name="IQ_OPEB_BREAKDOWN_FI">"c3278"</definedName>
    <definedName name="IQ_OPEB_BREAKDOWN_FI_DOM">"c3276"</definedName>
    <definedName name="IQ_OPEB_BREAKDOWN_FI_FOREIGN">"c3277"</definedName>
    <definedName name="IQ_OPEB_BREAKDOWN_OTHER">"c3284"</definedName>
    <definedName name="IQ_OPEB_BREAKDOWN_OTHER_DOM">"c3282"</definedName>
    <definedName name="IQ_OPEB_BREAKDOWN_OTHER_FOREIGN">"c3283"</definedName>
    <definedName name="IQ_OPEB_BREAKDOWN_PCT_EQ">"c3263"</definedName>
    <definedName name="IQ_OPEB_BREAKDOWN_PCT_EQ_DOM">"c3261"</definedName>
    <definedName name="IQ_OPEB_BREAKDOWN_PCT_EQ_FOREIGN">"c3262"</definedName>
    <definedName name="IQ_OPEB_BREAKDOWN_PCT_FI">"c3266"</definedName>
    <definedName name="IQ_OPEB_BREAKDOWN_PCT_FI_DOM">"c3264"</definedName>
    <definedName name="IQ_OPEB_BREAKDOWN_PCT_FI_FOREIGN">"c3265"</definedName>
    <definedName name="IQ_OPEB_BREAKDOWN_PCT_OTHER">"c3272"</definedName>
    <definedName name="IQ_OPEB_BREAKDOWN_PCT_OTHER_DOM">"c3270"</definedName>
    <definedName name="IQ_OPEB_BREAKDOWN_PCT_OTHER_FOREIGN">"c3271"</definedName>
    <definedName name="IQ_OPEB_BREAKDOWN_PCT_RE">"c3269"</definedName>
    <definedName name="IQ_OPEB_BREAKDOWN_PCT_RE_DOM">"c3267"</definedName>
    <definedName name="IQ_OPEB_BREAKDOWN_PCT_RE_FOREIGN">"c3268"</definedName>
    <definedName name="IQ_OPEB_BREAKDOWN_RE">"c3281"</definedName>
    <definedName name="IQ_OPEB_BREAKDOWN_RE_DOM">"c3279"</definedName>
    <definedName name="IQ_OPEB_BREAKDOWN_RE_FOREIGN">"c3280"</definedName>
    <definedName name="IQ_OPEB_DECREASE_EFFECT_PBO">"c3458"</definedName>
    <definedName name="IQ_OPEB_DECREASE_EFFECT_PBO_DOM">"c3456"</definedName>
    <definedName name="IQ_OPEB_DECREASE_EFFECT_PBO_FOREIGN">"c3457"</definedName>
    <definedName name="IQ_OPEB_DECREASE_EFFECT_SERVICE_INT_COST">"c3455"</definedName>
    <definedName name="IQ_OPEB_DECREASE_EFFECT_SERVICE_INT_COST_DOM">"c3453"</definedName>
    <definedName name="IQ_OPEB_DECREASE_EFFECT_SERVICE_INT_COST_FOREIGN">"c3454"</definedName>
    <definedName name="IQ_OPEB_DISC_RATE_MAX">"c3422"</definedName>
    <definedName name="IQ_OPEB_DISC_RATE_MAX_DOM">"c3420"</definedName>
    <definedName name="IQ_OPEB_DISC_RATE_MAX_FOREIGN">"c3421"</definedName>
    <definedName name="IQ_OPEB_DISC_RATE_MIN">"c3419"</definedName>
    <definedName name="IQ_OPEB_DISC_RATE_MIN_DOM">"c3417"</definedName>
    <definedName name="IQ_OPEB_DISC_RATE_MIN_FOREIGN">"c3418"</definedName>
    <definedName name="IQ_OPEB_EST_BENEFIT_1YR">"c3287"</definedName>
    <definedName name="IQ_OPEB_EST_BENEFIT_1YR_DOM">"c3285"</definedName>
    <definedName name="IQ_OPEB_EST_BENEFIT_1YR_FOREIGN">"c3286"</definedName>
    <definedName name="IQ_OPEB_EST_BENEFIT_2YR">"c3290"</definedName>
    <definedName name="IQ_OPEB_EST_BENEFIT_2YR_DOM">"c3288"</definedName>
    <definedName name="IQ_OPEB_EST_BENEFIT_2YR_FOREIGN">"c3289"</definedName>
    <definedName name="IQ_OPEB_EST_BENEFIT_3YR">"c3293"</definedName>
    <definedName name="IQ_OPEB_EST_BENEFIT_3YR_DOM">"c3291"</definedName>
    <definedName name="IQ_OPEB_EST_BENEFIT_3YR_FOREIGN">"c3292"</definedName>
    <definedName name="IQ_OPEB_EST_BENEFIT_4YR">"c3296"</definedName>
    <definedName name="IQ_OPEB_EST_BENEFIT_4YR_DOM">"c3294"</definedName>
    <definedName name="IQ_OPEB_EST_BENEFIT_4YR_FOREIGN">"c3295"</definedName>
    <definedName name="IQ_OPEB_EST_BENEFIT_5YR">"c3299"</definedName>
    <definedName name="IQ_OPEB_EST_BENEFIT_5YR_DOM">"c3297"</definedName>
    <definedName name="IQ_OPEB_EST_BENEFIT_5YR_FOREIGN">"c3298"</definedName>
    <definedName name="IQ_OPEB_EST_BENEFIT_AFTER5">"c3302"</definedName>
    <definedName name="IQ_OPEB_EST_BENEFIT_AFTER5_DOM">"c3300"</definedName>
    <definedName name="IQ_OPEB_EST_BENEFIT_AFTER5_FOREIGN">"c3301"</definedName>
    <definedName name="IQ_OPEB_EXP_RATE_RETURN_MAX">"c3434"</definedName>
    <definedName name="IQ_OPEB_EXP_RATE_RETURN_MAX_DOM">"c3432"</definedName>
    <definedName name="IQ_OPEB_EXP_RATE_RETURN_MAX_FOREIGN">"c3433"</definedName>
    <definedName name="IQ_OPEB_EXP_RATE_RETURN_MIN">"c3431"</definedName>
    <definedName name="IQ_OPEB_EXP_RATE_RETURN_MIN_DOM">"c3429"</definedName>
    <definedName name="IQ_OPEB_EXP_RATE_RETURN_MIN_FOREIGN">"c3430"</definedName>
    <definedName name="IQ_OPEB_EXP_RETURN">"c3398"</definedName>
    <definedName name="IQ_OPEB_EXP_RETURN_DOM">"c3396"</definedName>
    <definedName name="IQ_OPEB_EXP_RETURN_FOREIGN">"c3397"</definedName>
    <definedName name="IQ_OPEB_HEALTH_COST_TREND_INITIAL">"c3413"</definedName>
    <definedName name="IQ_OPEB_HEALTH_COST_TREND_INITIAL_DOM">"c3411"</definedName>
    <definedName name="IQ_OPEB_HEALTH_COST_TREND_INITIAL_FOREIGN">"c3412"</definedName>
    <definedName name="IQ_OPEB_HEALTH_COST_TREND_ULTIMATE">"c3416"</definedName>
    <definedName name="IQ_OPEB_HEALTH_COST_TREND_ULTIMATE_DOM">"c3414"</definedName>
    <definedName name="IQ_OPEB_HEALTH_COST_TREND_ULTIMATE_FOREIGN">"c3415"</definedName>
    <definedName name="IQ_OPEB_INCREASE_EFFECT_PBO">"c3452"</definedName>
    <definedName name="IQ_OPEB_INCREASE_EFFECT_PBO_DOM">"c3450"</definedName>
    <definedName name="IQ_OPEB_INCREASE_EFFECT_PBO_FOREIGN">"c3451"</definedName>
    <definedName name="IQ_OPEB_INCREASE_EFFECT_SERVICE_INT_COST">"c3449"</definedName>
    <definedName name="IQ_OPEB_INCREASE_EFFECT_SERVICE_INT_COST_DOM">"c3447"</definedName>
    <definedName name="IQ_OPEB_INCREASE_EFFECT_SERVICE_INT_COST_FOREIGN">"c3448"</definedName>
    <definedName name="IQ_OPEB_INTAN_ASSETS">"c3311"</definedName>
    <definedName name="IQ_OPEB_INTAN_ASSETS_DOM">"c3309"</definedName>
    <definedName name="IQ_OPEB_INTAN_ASSETS_FOREIGN">"c3310"</definedName>
    <definedName name="IQ_OPEB_INTEREST_COST">"c3395"</definedName>
    <definedName name="IQ_OPEB_INTEREST_COST_DOM">"c3393"</definedName>
    <definedName name="IQ_OPEB_INTEREST_COST_FOREIGN">"c3394"</definedName>
    <definedName name="IQ_OPEB_NET_ASSET_RECOG">"c3326"</definedName>
    <definedName name="IQ_OPEB_NET_ASSET_RECOG_DOM">"c3324"</definedName>
    <definedName name="IQ_OPEB_NET_ASSET_RECOG_FOREIGN">"c3325"</definedName>
    <definedName name="IQ_OPEB_OBLIGATION_ACCUMULATED">"c3407"</definedName>
    <definedName name="IQ_OPEB_OBLIGATION_ACCUMULATED_DOM">"c3405"</definedName>
    <definedName name="IQ_OPEB_OBLIGATION_ACCUMULATED_FOREIGN">"c3406"</definedName>
    <definedName name="IQ_OPEB_OBLIGATION_ACQ">"c3380"</definedName>
    <definedName name="IQ_OPEB_OBLIGATION_ACQ_DOM">"c3378"</definedName>
    <definedName name="IQ_OPEB_OBLIGATION_ACQ_FOREIGN">"c3379"</definedName>
    <definedName name="IQ_OPEB_OBLIGATION_ACTUARIAL_GAIN_LOSS">"c3371"</definedName>
    <definedName name="IQ_OPEB_OBLIGATION_ACTUARIAL_GAIN_LOSS_DOM">"c3369"</definedName>
    <definedName name="IQ_OPEB_OBLIGATION_ACTUARIAL_GAIN_LOSS_FOREIGN">"c3370"</definedName>
    <definedName name="IQ_OPEB_OBLIGATION_BEG">"c3359"</definedName>
    <definedName name="IQ_OPEB_OBLIGATION_BEG_DOM">"c3357"</definedName>
    <definedName name="IQ_OPEB_OBLIGATION_BEG_FOREIGN">"c3358"</definedName>
    <definedName name="IQ_OPEB_OBLIGATION_CURTAIL">"c3383"</definedName>
    <definedName name="IQ_OPEB_OBLIGATION_CURTAIL_DOM">"c3381"</definedName>
    <definedName name="IQ_OPEB_OBLIGATION_CURTAIL_FOREIGN">"c3382"</definedName>
    <definedName name="IQ_OPEB_OBLIGATION_EMPLOYEE_CONTRIBUTIONS">"c3368"</definedName>
    <definedName name="IQ_OPEB_OBLIGATION_EMPLOYEE_CONTRIBUTIONS_DOM">"c3366"</definedName>
    <definedName name="IQ_OPEB_OBLIGATION_EMPLOYEE_CONTRIBUTIONS_FOREIGN">"c3367"</definedName>
    <definedName name="IQ_OPEB_OBLIGATION_FX_ADJ">"c3377"</definedName>
    <definedName name="IQ_OPEB_OBLIGATION_FX_ADJ_DOM">"c3375"</definedName>
    <definedName name="IQ_OPEB_OBLIGATION_FX_ADJ_FOREIGN">"c3376"</definedName>
    <definedName name="IQ_OPEB_OBLIGATION_INTEREST_COST">"c3365"</definedName>
    <definedName name="IQ_OPEB_OBLIGATION_INTEREST_COST_DOM">"c3363"</definedName>
    <definedName name="IQ_OPEB_OBLIGATION_INTEREST_COST_FOREIGN">"c3364"</definedName>
    <definedName name="IQ_OPEB_OBLIGATION_OTHER_PLAN_ADJ">"c3386"</definedName>
    <definedName name="IQ_OPEB_OBLIGATION_OTHER_PLAN_ADJ_DOM">"c3384"</definedName>
    <definedName name="IQ_OPEB_OBLIGATION_OTHER_PLAN_ADJ_FOREIGN">"c3385"</definedName>
    <definedName name="IQ_OPEB_OBLIGATION_PAID">"c3374"</definedName>
    <definedName name="IQ_OPEB_OBLIGATION_PAID_DOM">"c3372"</definedName>
    <definedName name="IQ_OPEB_OBLIGATION_PAID_FOREIGN">"c3373"</definedName>
    <definedName name="IQ_OPEB_OBLIGATION_PROJECTED">"c3389"</definedName>
    <definedName name="IQ_OPEB_OBLIGATION_PROJECTED_DOM">"c3387"</definedName>
    <definedName name="IQ_OPEB_OBLIGATION_PROJECTED_FOREIGN">"c3388"</definedName>
    <definedName name="IQ_OPEB_OBLIGATION_SERVICE_COST">"c3362"</definedName>
    <definedName name="IQ_OPEB_OBLIGATION_SERVICE_COST_DOM">"c3360"</definedName>
    <definedName name="IQ_OPEB_OBLIGATION_SERVICE_COST_FOREIGN">"c3361"</definedName>
    <definedName name="IQ_OPEB_OTHER">"c3317"</definedName>
    <definedName name="IQ_OPEB_OTHER_ADJ">"c3323"</definedName>
    <definedName name="IQ_OPEB_OTHER_ADJ_DOM">"c3321"</definedName>
    <definedName name="IQ_OPEB_OTHER_ADJ_FOREIGN">"c3322"</definedName>
    <definedName name="IQ_OPEB_OTHER_COST">"c3401"</definedName>
    <definedName name="IQ_OPEB_OTHER_COST_DOM">"c3399"</definedName>
    <definedName name="IQ_OPEB_OTHER_COST_FOREIGN">"c3400"</definedName>
    <definedName name="IQ_OPEB_OTHER_DOM">"c3315"</definedName>
    <definedName name="IQ_OPEB_OTHER_FOREIGN">"c3316"</definedName>
    <definedName name="IQ_OPEB_PBO_ASSUMED_RATE_RET_MAX">"c3440"</definedName>
    <definedName name="IQ_OPEB_PBO_ASSUMED_RATE_RET_MAX_DOM">"c3438"</definedName>
    <definedName name="IQ_OPEB_PBO_ASSUMED_RATE_RET_MAX_FOREIGN">"c3439"</definedName>
    <definedName name="IQ_OPEB_PBO_ASSUMED_RATE_RET_MIN">"c3437"</definedName>
    <definedName name="IQ_OPEB_PBO_ASSUMED_RATE_RET_MIN_DOM">"c3435"</definedName>
    <definedName name="IQ_OPEB_PBO_ASSUMED_RATE_RET_MIN_FOREIGN">"c3436"</definedName>
    <definedName name="IQ_OPEB_PBO_RATE_COMP_INCREASE_MAX">"c3446"</definedName>
    <definedName name="IQ_OPEB_PBO_RATE_COMP_INCREASE_MAX_DOM">"c3444"</definedName>
    <definedName name="IQ_OPEB_PBO_RATE_COMP_INCREASE_MAX_FOREIGN">"c3445"</definedName>
    <definedName name="IQ_OPEB_PBO_RATE_COMP_INCREASE_MIN">"c3443"</definedName>
    <definedName name="IQ_OPEB_PBO_RATE_COMP_INCREASE_MIN_DOM">"c3441"</definedName>
    <definedName name="IQ_OPEB_PBO_RATE_COMP_INCREASE_MIN_FOREIGN">"c3442"</definedName>
    <definedName name="IQ_OPEB_PREPAID_COST">"c3305"</definedName>
    <definedName name="IQ_OPEB_PREPAID_COST_DOM">"c3303"</definedName>
    <definedName name="IQ_OPEB_PREPAID_COST_FOREIGN">"c3304"</definedName>
    <definedName name="IQ_OPEB_RATE_COMP_INCREASE_MAX">"c3428"</definedName>
    <definedName name="IQ_OPEB_RATE_COMP_INCREASE_MAX_DOM">"c3426"</definedName>
    <definedName name="IQ_OPEB_RATE_COMP_INCREASE_MAX_FOREIGN">"c3427"</definedName>
    <definedName name="IQ_OPEB_RATE_COMP_INCREASE_MIN">"c3425"</definedName>
    <definedName name="IQ_OPEB_RATE_COMP_INCREASE_MIN_DOM">"c3423"</definedName>
    <definedName name="IQ_OPEB_RATE_COMP_INCREASE_MIN_FOREIGN">"c3424"</definedName>
    <definedName name="IQ_OPEB_SERVICE_COST">"c3392"</definedName>
    <definedName name="IQ_OPEB_SERVICE_COST_DOM">"c3390"</definedName>
    <definedName name="IQ_OPEB_SERVICE_COST_FOREIGN">"c3391"</definedName>
    <definedName name="IQ_OPEB_TOTAL_COST">"c3404"</definedName>
    <definedName name="IQ_OPEB_TOTAL_COST_DOM">"c3402"</definedName>
    <definedName name="IQ_OPEB_TOTAL_COST_FOREIGN">"c3403"</definedName>
    <definedName name="IQ_OPEB_UNRECOG_PRIOR">"c3320"</definedName>
    <definedName name="IQ_OPEB_UNRECOG_PRIOR_DOM">"c3318"</definedName>
    <definedName name="IQ_OPEB_UNRECOG_PRIOR_FOREIGN">"c3319"</definedName>
    <definedName name="IQ_OPENPRICE">"c848"</definedName>
    <definedName name="IQ_OPER_INC">"c849"</definedName>
    <definedName name="IQ_OPER_INC_BR">"c850"</definedName>
    <definedName name="IQ_OPER_INC_FIN">"c851"</definedName>
    <definedName name="IQ_OPER_INC_INS">"c852"</definedName>
    <definedName name="IQ_OPER_INC_MARGIN">"c1448"</definedName>
    <definedName name="IQ_OPER_INC_REIT">"c853"</definedName>
    <definedName name="IQ_OPER_INC_UTI">"c854"</definedName>
    <definedName name="IQ_OPERATIONS_EXP">"c855"</definedName>
    <definedName name="IQ_OPTIONS_BEG_OS">"c1572"</definedName>
    <definedName name="IQ_OPTIONS_CANCELLED">"c856"</definedName>
    <definedName name="IQ_OPTIONS_END_OS">"c1573"</definedName>
    <definedName name="IQ_OPTIONS_EXERCISED">"c2116"</definedName>
    <definedName name="IQ_OPTIONS_GRANTED">"c2673"</definedName>
    <definedName name="IQ_OPTIONS_ISSUED">"c857"</definedName>
    <definedName name="IQ_OPTIONS_STRIKE_PRICE_GRANTED">"c2678"</definedName>
    <definedName name="IQ_OPTIONS_STRIKE_PRICE_OS">"c2677"</definedName>
    <definedName name="IQ_ORDER_BACKLOG">"c2090"</definedName>
    <definedName name="IQ_OTHER_ADJUST_GROSS_LOANS">"c859"</definedName>
    <definedName name="IQ_OTHER_ASSETS">"c860"</definedName>
    <definedName name="IQ_OTHER_ASSETS_BNK">"c861"</definedName>
    <definedName name="IQ_OTHER_ASSETS_BR">"c862"</definedName>
    <definedName name="IQ_OTHER_ASSETS_FIN">"c863"</definedName>
    <definedName name="IQ_OTHER_ASSETS_INS">"c864"</definedName>
    <definedName name="IQ_OTHER_ASSETS_REIT">"c865"</definedName>
    <definedName name="IQ_OTHER_ASSETS_SERV_RIGHTS">"c2243"</definedName>
    <definedName name="IQ_OTHER_ASSETS_UTI">"c866"</definedName>
    <definedName name="IQ_OTHER_BEARING_LIAB">"c1608"</definedName>
    <definedName name="IQ_OTHER_BENEFITS_OBLIGATION">"c867"</definedName>
    <definedName name="IQ_OTHER_CA">"c868"</definedName>
    <definedName name="IQ_OTHER_CA_SUPPL">"c869"</definedName>
    <definedName name="IQ_OTHER_CA_SUPPL_BNK">"c870"</definedName>
    <definedName name="IQ_OTHER_CA_SUPPL_BR">"c871"</definedName>
    <definedName name="IQ_OTHER_CA_SUPPL_FIN">"c872"</definedName>
    <definedName name="IQ_OTHER_CA_SUPPL_INS">"c873"</definedName>
    <definedName name="IQ_OTHER_CA_SUPPL_REIT">"c874"</definedName>
    <definedName name="IQ_OTHER_CA_SUPPL_UTI">"c875"</definedName>
    <definedName name="IQ_OTHER_CA_UTI">"c876"</definedName>
    <definedName name="IQ_OTHER_CL">"c877"</definedName>
    <definedName name="IQ_OTHER_CL_SUPPL">"c878"</definedName>
    <definedName name="IQ_OTHER_CL_SUPPL_BNK">"c879"</definedName>
    <definedName name="IQ_OTHER_CL_SUPPL_BR">"c880"</definedName>
    <definedName name="IQ_OTHER_CL_SUPPL_FIN">"c881"</definedName>
    <definedName name="IQ_OTHER_CL_SUPPL_REIT">"c882"</definedName>
    <definedName name="IQ_OTHER_CL_SUPPL_UTI">"c883"</definedName>
    <definedName name="IQ_OTHER_CL_UTI">"c884"</definedName>
    <definedName name="IQ_OTHER_CURRENT_ASSETS">"c1403"</definedName>
    <definedName name="IQ_OTHER_CURRENT_LIAB">"c1404"</definedName>
    <definedName name="IQ_OTHER_DEBT">"c2507"</definedName>
    <definedName name="IQ_OTHER_DEBT_PCT">"c2508"</definedName>
    <definedName name="IQ_OTHER_DEP">"c885"</definedName>
    <definedName name="IQ_OTHER_EARNING">"c1609"</definedName>
    <definedName name="IQ_OTHER_EQUITY">"c886"</definedName>
    <definedName name="IQ_OTHER_EQUITY_BNK">"c887"</definedName>
    <definedName name="IQ_OTHER_EQUITY_BR">"c888"</definedName>
    <definedName name="IQ_OTHER_EQUITY_FIN">"c889"</definedName>
    <definedName name="IQ_OTHER_EQUITY_INS">"c890"</definedName>
    <definedName name="IQ_OTHER_EQUITY_REIT">"c891"</definedName>
    <definedName name="IQ_OTHER_EQUITY_UTI">"c892"</definedName>
    <definedName name="IQ_OTHER_FINANCE_ACT">"c893"</definedName>
    <definedName name="IQ_OTHER_FINANCE_ACT_BNK">"c894"</definedName>
    <definedName name="IQ_OTHER_FINANCE_ACT_BR">"c895"</definedName>
    <definedName name="IQ_OTHER_FINANCE_ACT_FIN">"c896"</definedName>
    <definedName name="IQ_OTHER_FINANCE_ACT_INS">"c897"</definedName>
    <definedName name="IQ_OTHER_FINANCE_ACT_REIT">"c898"</definedName>
    <definedName name="IQ_OTHER_FINANCE_ACT_SUPPL">"c899"</definedName>
    <definedName name="IQ_OTHER_FINANCE_ACT_SUPPL_BNK">"c900"</definedName>
    <definedName name="IQ_OTHER_FINANCE_ACT_SUPPL_BR">"c901"</definedName>
    <definedName name="IQ_OTHER_FINANCE_ACT_SUPPL_FIN">"c902"</definedName>
    <definedName name="IQ_OTHER_FINANCE_ACT_SUPPL_INS">"c903"</definedName>
    <definedName name="IQ_OTHER_FINANCE_ACT_SUPPL_REIT">"c904"</definedName>
    <definedName name="IQ_OTHER_FINANCE_ACT_SUPPL_UTI">"c905"</definedName>
    <definedName name="IQ_OTHER_FINANCE_ACT_UTI">"c906"</definedName>
    <definedName name="IQ_OTHER_INTAN">"c907"</definedName>
    <definedName name="IQ_OTHER_INTAN_BNK">"c908"</definedName>
    <definedName name="IQ_OTHER_INTAN_BR">"c909"</definedName>
    <definedName name="IQ_OTHER_INTAN_FIN">"c910"</definedName>
    <definedName name="IQ_OTHER_INTAN_INS">"c911"</definedName>
    <definedName name="IQ_OTHER_INTAN_REIT">"c912"</definedName>
    <definedName name="IQ_OTHER_INTAN_UTI">"c913"</definedName>
    <definedName name="IQ_OTHER_INV">"c914"</definedName>
    <definedName name="IQ_OTHER_INVEST">"c915"</definedName>
    <definedName name="IQ_OTHER_INVEST_ACT">"c916"</definedName>
    <definedName name="IQ_OTHER_INVEST_ACT_BNK">"c917"</definedName>
    <definedName name="IQ_OTHER_INVEST_ACT_BR">"c918"</definedName>
    <definedName name="IQ_OTHER_INVEST_ACT_FIN">"c919"</definedName>
    <definedName name="IQ_OTHER_INVEST_ACT_INS">"c920"</definedName>
    <definedName name="IQ_OTHER_INVEST_ACT_REIT">"c921"</definedName>
    <definedName name="IQ_OTHER_INVEST_ACT_SUPPL">"c922"</definedName>
    <definedName name="IQ_OTHER_INVEST_ACT_SUPPL_BNK">"c923"</definedName>
    <definedName name="IQ_OTHER_INVEST_ACT_SUPPL_BR">"c924"</definedName>
    <definedName name="IQ_OTHER_INVEST_ACT_SUPPL_FIN">"c925"</definedName>
    <definedName name="IQ_OTHER_INVEST_ACT_SUPPL_INS">"c926"</definedName>
    <definedName name="IQ_OTHER_INVEST_ACT_SUPPL_REIT">"c927"</definedName>
    <definedName name="IQ_OTHER_INVEST_ACT_SUPPL_UTI">"c928"</definedName>
    <definedName name="IQ_OTHER_INVEST_ACT_UTI">"c929"</definedName>
    <definedName name="IQ_OTHER_INVESTING">"c1408"</definedName>
    <definedName name="IQ_OTHER_LIAB">"c930"</definedName>
    <definedName name="IQ_OTHER_LIAB_BNK">"c931"</definedName>
    <definedName name="IQ_OTHER_LIAB_BR">"c932"</definedName>
    <definedName name="IQ_OTHER_LIAB_FIN">"c933"</definedName>
    <definedName name="IQ_OTHER_LIAB_INS">"c934"</definedName>
    <definedName name="IQ_OTHER_LIAB_LT">"c935"</definedName>
    <definedName name="IQ_OTHER_LIAB_LT_BNK">"c936"</definedName>
    <definedName name="IQ_OTHER_LIAB_LT_BR">"c937"</definedName>
    <definedName name="IQ_OTHER_LIAB_LT_FIN">"c938"</definedName>
    <definedName name="IQ_OTHER_LIAB_LT_INS">"c939"</definedName>
    <definedName name="IQ_OTHER_LIAB_LT_REIT">"c940"</definedName>
    <definedName name="IQ_OTHER_LIAB_LT_UTI">"c941"</definedName>
    <definedName name="IQ_OTHER_LIAB_REIT">"c942"</definedName>
    <definedName name="IQ_OTHER_LIAB_UTI">"c943"</definedName>
    <definedName name="IQ_OTHER_LIAB_WRITTEN">"c944"</definedName>
    <definedName name="IQ_OTHER_LOANS">"c945"</definedName>
    <definedName name="IQ_OTHER_LONG_TERM">"c1409"</definedName>
    <definedName name="IQ_OTHER_LT_ASSETS">"c946"</definedName>
    <definedName name="IQ_OTHER_LT_ASSETS_BNK">"c947"</definedName>
    <definedName name="IQ_OTHER_LT_ASSETS_BR">"c948"</definedName>
    <definedName name="IQ_OTHER_LT_ASSETS_FIN">"c949"</definedName>
    <definedName name="IQ_OTHER_LT_ASSETS_INS">"c950"</definedName>
    <definedName name="IQ_OTHER_LT_ASSETS_REIT">"c951"</definedName>
    <definedName name="IQ_OTHER_LT_ASSETS_UTI">"c952"</definedName>
    <definedName name="IQ_OTHER_NET">"c1453"</definedName>
    <definedName name="IQ_OTHER_NON_INT_EXP">"c953"</definedName>
    <definedName name="IQ_OTHER_NON_INT_EXP_TOTAL">"c954"</definedName>
    <definedName name="IQ_OTHER_NON_INT_INC">"c955"</definedName>
    <definedName name="IQ_OTHER_NON_OPER_EXP">"c956"</definedName>
    <definedName name="IQ_OTHER_NON_OPER_EXP_BR">"c957"</definedName>
    <definedName name="IQ_OTHER_NON_OPER_EXP_FIN">"c958"</definedName>
    <definedName name="IQ_OTHER_NON_OPER_EXP_INS">"c959"</definedName>
    <definedName name="IQ_OTHER_NON_OPER_EXP_REIT">"c960"</definedName>
    <definedName name="IQ_OTHER_NON_OPER_EXP_SUPPL">"c961"</definedName>
    <definedName name="IQ_OTHER_NON_OPER_EXP_SUPPL_BR">"c962"</definedName>
    <definedName name="IQ_OTHER_NON_OPER_EXP_SUPPL_FIN">"c963"</definedName>
    <definedName name="IQ_OTHER_NON_OPER_EXP_SUPPL_INS">"c964"</definedName>
    <definedName name="IQ_OTHER_NON_OPER_EXP_SUPPL_REIT">"c965"</definedName>
    <definedName name="IQ_OTHER_NON_OPER_EXP_SUPPL_UTI">"c966"</definedName>
    <definedName name="IQ_OTHER_NON_OPER_EXP_UTI">"c967"</definedName>
    <definedName name="IQ_OTHER_OPER">"c982"</definedName>
    <definedName name="IQ_OTHER_OPER_ACT">"c983"</definedName>
    <definedName name="IQ_OTHER_OPER_ACT_BNK">"c984"</definedName>
    <definedName name="IQ_OTHER_OPER_ACT_BR">"c985"</definedName>
    <definedName name="IQ_OTHER_OPER_ACT_FIN">"c986"</definedName>
    <definedName name="IQ_OTHER_OPER_ACT_INS">"c987"</definedName>
    <definedName name="IQ_OTHER_OPER_ACT_REIT">"c988"</definedName>
    <definedName name="IQ_OTHER_OPER_ACT_UTI">"c989"</definedName>
    <definedName name="IQ_OTHER_OPER_BR">"c990"</definedName>
    <definedName name="IQ_OTHER_OPER_FIN">"c991"</definedName>
    <definedName name="IQ_OTHER_OPER_INS">"c992"</definedName>
    <definedName name="IQ_OTHER_OPER_REIT">"c993"</definedName>
    <definedName name="IQ_OTHER_OPER_SUPPL_BR">"c994"</definedName>
    <definedName name="IQ_OTHER_OPER_SUPPL_FIN">"c995"</definedName>
    <definedName name="IQ_OTHER_OPER_SUPPL_INS">"c996"</definedName>
    <definedName name="IQ_OTHER_OPER_SUPPL_REIT">"c997"</definedName>
    <definedName name="IQ_OTHER_OPER_SUPPL_UTI">"c998"</definedName>
    <definedName name="IQ_OTHER_OPER_TOT_BNK">"c999"</definedName>
    <definedName name="IQ_OTHER_OPER_TOT_BR">"c1000"</definedName>
    <definedName name="IQ_OTHER_OPER_TOT_FIN">"c1001"</definedName>
    <definedName name="IQ_OTHER_OPER_TOT_INS">"c1002"</definedName>
    <definedName name="IQ_OTHER_OPER_TOT_REIT">"c1003"</definedName>
    <definedName name="IQ_OTHER_OPER_TOT_UTI">"c1004"</definedName>
    <definedName name="IQ_OTHER_OPER_UTI">"c1005"</definedName>
    <definedName name="IQ_OTHER_OPTIONS_BEG_OS">"c2686"</definedName>
    <definedName name="IQ_OTHER_OPTIONS_CANCELLED">"c2689"</definedName>
    <definedName name="IQ_OTHER_OPTIONS_END_OS">"c2690"</definedName>
    <definedName name="IQ_OTHER_OPTIONS_EXERCISED">"c2688"</definedName>
    <definedName name="IQ_OTHER_OPTIONS_GRANTED">"c2687"</definedName>
    <definedName name="IQ_OTHER_OPTIONS_STRIKE_PRICE_OS">"c2691"</definedName>
    <definedName name="IQ_OTHER_OUTSTANDING_BS_DATE">"c1972"</definedName>
    <definedName name="IQ_OTHER_OUTSTANDING_FILING_DATE">"c1974"</definedName>
    <definedName name="IQ_OTHER_PC_WRITTEN">"c1006"</definedName>
    <definedName name="IQ_OTHER_REAL_ESTATE">"c1007"</definedName>
    <definedName name="IQ_OTHER_RECEIV">"c1008"</definedName>
    <definedName name="IQ_OTHER_RECEIV_INS">"c1009"</definedName>
    <definedName name="IQ_OTHER_REV">"c1010"</definedName>
    <definedName name="IQ_OTHER_REV_BR">"c1011"</definedName>
    <definedName name="IQ_OTHER_REV_FIN">"c1012"</definedName>
    <definedName name="IQ_OTHER_REV_INS">"c1013"</definedName>
    <definedName name="IQ_OTHER_REV_REIT">"c1014"</definedName>
    <definedName name="IQ_OTHER_REV_SUPPL">"c1015"</definedName>
    <definedName name="IQ_OTHER_REV_SUPPL_BR">"c1016"</definedName>
    <definedName name="IQ_OTHER_REV_SUPPL_FIN">"c1017"</definedName>
    <definedName name="IQ_OTHER_REV_SUPPL_INS">"c1018"</definedName>
    <definedName name="IQ_OTHER_REV_SUPPL_REIT">"c1019"</definedName>
    <definedName name="IQ_OTHER_REV_SUPPL_UTI">"c1020"</definedName>
    <definedName name="IQ_OTHER_REV_UTI">"c1021"</definedName>
    <definedName name="IQ_OTHER_REVENUE">"c1410"</definedName>
    <definedName name="IQ_OTHER_STRIKE_PRICE_GRANTED">"c2692"</definedName>
    <definedName name="IQ_OTHER_UNDRAWN">"c2522"</definedName>
    <definedName name="IQ_OTHER_UNUSUAL">"c1488"</definedName>
    <definedName name="IQ_OTHER_UNUSUAL_BNK">"c1560"</definedName>
    <definedName name="IQ_OTHER_UNUSUAL_BR">"c1561"</definedName>
    <definedName name="IQ_OTHER_UNUSUAL_FIN">"c1562"</definedName>
    <definedName name="IQ_OTHER_UNUSUAL_INS">"c1563"</definedName>
    <definedName name="IQ_OTHER_UNUSUAL_REIT">"c1564"</definedName>
    <definedName name="IQ_OTHER_UNUSUAL_SUPPL">"c1494"</definedName>
    <definedName name="IQ_OTHER_UNUSUAL_SUPPL_BNK">"c1495"</definedName>
    <definedName name="IQ_OTHER_UNUSUAL_SUPPL_BR">"c1496"</definedName>
    <definedName name="IQ_OTHER_UNUSUAL_SUPPL_FIN">"c1497"</definedName>
    <definedName name="IQ_OTHER_UNUSUAL_SUPPL_INS">"c1498"</definedName>
    <definedName name="IQ_OTHER_UNUSUAL_SUPPL_REIT">"c1499"</definedName>
    <definedName name="IQ_OTHER_UNUSUAL_SUPPL_UTI">"c1500"</definedName>
    <definedName name="IQ_OTHER_UNUSUAL_UTI">"c1565"</definedName>
    <definedName name="IQ_OTHER_WARRANTS_BEG_OS">"c2712"</definedName>
    <definedName name="IQ_OTHER_WARRANTS_CANCELLED">"c2715"</definedName>
    <definedName name="IQ_OTHER_WARRANTS_END_OS">"c2716"</definedName>
    <definedName name="IQ_OTHER_WARRANTS_EXERCISED">"c2714"</definedName>
    <definedName name="IQ_OTHER_WARRANTS_ISSUED">"c2713"</definedName>
    <definedName name="IQ_OTHER_WARRANTS_STRIKE_PRICE_ISSUED">"c2718"</definedName>
    <definedName name="IQ_OTHER_WARRANTS_STRIKE_PRICE_OS">"c2717"</definedName>
    <definedName name="IQ_OUTSTANDING_BS_DATE">"c2128"</definedName>
    <definedName name="IQ_OUTSTANDING_FILING_DATE">"c1023"</definedName>
    <definedName name="IQ_OWNERSHIP">"c2160"</definedName>
    <definedName name="IQ_PART_TIME">"c1024"</definedName>
    <definedName name="IQ_PAY_ACCRUED">"c1457"</definedName>
    <definedName name="IQ_PAYOUT_RATIO">"c1900"</definedName>
    <definedName name="IQ_PBV">"c1025"</definedName>
    <definedName name="IQ_PBV_AVG">"c1026"</definedName>
    <definedName name="IQ_PC_EARNED">"c2749"</definedName>
    <definedName name="IQ_PC_GAAP_COMBINED_RATIO">"c2781"</definedName>
    <definedName name="IQ_PC_GAAP_COMBINED_RATIO_EXCL_CL">"c2782"</definedName>
    <definedName name="IQ_PC_GAAP_EXPENSE_RATIO">"c2780"</definedName>
    <definedName name="IQ_PC_GAAP_LOSS">"c2779"</definedName>
    <definedName name="IQ_PC_POLICY_BENEFITS_EXP">"c2790"</definedName>
    <definedName name="IQ_PC_STAT_COMBINED_RATIO">"c2778"</definedName>
    <definedName name="IQ_PC_STAT_COMBINED_RATIO_EXCL_DIV">"c2777"</definedName>
    <definedName name="IQ_PC_STAT_DIVIDEND_RATIO">"c2776"</definedName>
    <definedName name="IQ_PC_STAT_EXPENSE_RATIO">"c2775"</definedName>
    <definedName name="IQ_PC_STAT_LOSS_RATIO">"c2774"</definedName>
    <definedName name="IQ_PC_STATUTORY_SURPLUS">"c2770"</definedName>
    <definedName name="IQ_PC_WRITTEN">"c1027"</definedName>
    <definedName name="IQ_PE_EXCL">"c1028"</definedName>
    <definedName name="IQ_PE_EXCL_AVG">"c1029"</definedName>
    <definedName name="IQ_PE_EXCL_FWD">"c1030"</definedName>
    <definedName name="IQ_PE_NORMALIZED">"c2207"</definedName>
    <definedName name="IQ_PE_RATIO">"c1610"</definedName>
    <definedName name="IQ_PENSION">"c1031"</definedName>
    <definedName name="IQ_PENSION_ACCRUED_LIAB">"c3134"</definedName>
    <definedName name="IQ_PENSION_ACCRUED_LIAB_DOM">"c3132"</definedName>
    <definedName name="IQ_PENSION_ACCRUED_LIAB_FOREIGN">"c3133"</definedName>
    <definedName name="IQ_PENSION_ACCUM_OTHER_CI">"c3140"</definedName>
    <definedName name="IQ_PENSION_ACCUM_OTHER_CI_DOM">"c3138"</definedName>
    <definedName name="IQ_PENSION_ACCUM_OTHER_CI_FOREIGN">"c3139"</definedName>
    <definedName name="IQ_PENSION_ACCUMULATED_OBLIGATION">"c3570"</definedName>
    <definedName name="IQ_PENSION_ACCUMULATED_OBLIGATION_DOMESTIC">"c3568"</definedName>
    <definedName name="IQ_PENSION_ACCUMULATED_OBLIGATION_FOREIGN">"c3569"</definedName>
    <definedName name="IQ_PENSION_ASSETS">"c3182"</definedName>
    <definedName name="IQ_PENSION_ASSETS_ACQ">"c3173"</definedName>
    <definedName name="IQ_PENSION_ASSETS_ACQ_DOM">"c3171"</definedName>
    <definedName name="IQ_PENSION_ASSETS_ACQ_FOREIGN">"c3172"</definedName>
    <definedName name="IQ_PENSION_ASSETS_ACTUAL_RETURN">"c3158"</definedName>
    <definedName name="IQ_PENSION_ASSETS_ACTUAL_RETURN_DOM">"c3156"</definedName>
    <definedName name="IQ_PENSION_ASSETS_ACTUAL_RETURN_FOREIGN">"c3157"</definedName>
    <definedName name="IQ_PENSION_ASSETS_BEG">"c3155"</definedName>
    <definedName name="IQ_PENSION_ASSETS_BEG_DOM">"c3153"</definedName>
    <definedName name="IQ_PENSION_ASSETS_BEG_FOREIGN">"c3154"</definedName>
    <definedName name="IQ_PENSION_ASSETS_BENEFITS_PAID">"c3167"</definedName>
    <definedName name="IQ_PENSION_ASSETS_BENEFITS_PAID_DOM">"c3165"</definedName>
    <definedName name="IQ_PENSION_ASSETS_BENEFITS_PAID_FOREIGN">"c3166"</definedName>
    <definedName name="IQ_PENSION_ASSETS_CURTAIL">"c3176"</definedName>
    <definedName name="IQ_PENSION_ASSETS_CURTAIL_DOM">"c3174"</definedName>
    <definedName name="IQ_PENSION_ASSETS_CURTAIL_FOREIGN">"c3175"</definedName>
    <definedName name="IQ_PENSION_ASSETS_DOM">"c3180"</definedName>
    <definedName name="IQ_PENSION_ASSETS_EMPLOYER_CONTRIBUTIONS">"c3161"</definedName>
    <definedName name="IQ_PENSION_ASSETS_EMPLOYER_CONTRIBUTIONS_DOM">"c3159"</definedName>
    <definedName name="IQ_PENSION_ASSETS_EMPLOYER_CONTRIBUTIONS_FOREIGN">"c3160"</definedName>
    <definedName name="IQ_PENSION_ASSETS_FOREIGN">"c3181"</definedName>
    <definedName name="IQ_PENSION_ASSETS_FX_ADJ">"c3170"</definedName>
    <definedName name="IQ_PENSION_ASSETS_FX_ADJ_DOM">"c3168"</definedName>
    <definedName name="IQ_PENSION_ASSETS_FX_ADJ_FOREIGN">"c3169"</definedName>
    <definedName name="IQ_PENSION_ASSETS_OTHER_PLAN_ADJ">"c3179"</definedName>
    <definedName name="IQ_PENSION_ASSETS_OTHER_PLAN_ADJ_DOM">"c3177"</definedName>
    <definedName name="IQ_PENSION_ASSETS_OTHER_PLAN_ADJ_FOREIGN">"c3178"</definedName>
    <definedName name="IQ_PENSION_ASSETS_PARTICIP_CONTRIBUTIONS">"c3164"</definedName>
    <definedName name="IQ_PENSION_ASSETS_PARTICIP_CONTRIBUTIONS_DOM">"c3162"</definedName>
    <definedName name="IQ_PENSION_ASSETS_PARTICIP_CONTRIBUTIONS_FOREIGN">"c3163"</definedName>
    <definedName name="IQ_PENSION_BENEFIT_INFO_DATE">"c3230"</definedName>
    <definedName name="IQ_PENSION_BENEFIT_INFO_DATE_DOM">"c3228"</definedName>
    <definedName name="IQ_PENSION_BENEFIT_INFO_DATE_FOREIGN">"c3229"</definedName>
    <definedName name="IQ_PENSION_BREAKDOWN_EQ">"c3101"</definedName>
    <definedName name="IQ_PENSION_BREAKDOWN_EQ_DOM">"c3099"</definedName>
    <definedName name="IQ_PENSION_BREAKDOWN_EQ_FOREIGN">"c3100"</definedName>
    <definedName name="IQ_PENSION_BREAKDOWN_FI">"c3104"</definedName>
    <definedName name="IQ_PENSION_BREAKDOWN_FI_DOM">"c3102"</definedName>
    <definedName name="IQ_PENSION_BREAKDOWN_FI_FOREIGN">"c3103"</definedName>
    <definedName name="IQ_PENSION_BREAKDOWN_OTHER">"c3110"</definedName>
    <definedName name="IQ_PENSION_BREAKDOWN_OTHER_DOM">"c3108"</definedName>
    <definedName name="IQ_PENSION_BREAKDOWN_OTHER_FOREIGN">"c3109"</definedName>
    <definedName name="IQ_PENSION_BREAKDOWN_PCT_EQ">"c3089"</definedName>
    <definedName name="IQ_PENSION_BREAKDOWN_PCT_EQ_DOM">"c3087"</definedName>
    <definedName name="IQ_PENSION_BREAKDOWN_PCT_EQ_FOREIGN">"c3088"</definedName>
    <definedName name="IQ_PENSION_BREAKDOWN_PCT_FI">"c3092"</definedName>
    <definedName name="IQ_PENSION_BREAKDOWN_PCT_FI_DOM">"c3090"</definedName>
    <definedName name="IQ_PENSION_BREAKDOWN_PCT_FI_FOREIGN">"c3091"</definedName>
    <definedName name="IQ_PENSION_BREAKDOWN_PCT_OTHER">"c3098"</definedName>
    <definedName name="IQ_PENSION_BREAKDOWN_PCT_OTHER_DOM">"c3096"</definedName>
    <definedName name="IQ_PENSION_BREAKDOWN_PCT_OTHER_FOREIGN">"c3097"</definedName>
    <definedName name="IQ_PENSION_BREAKDOWN_PCT_RE">"c3095"</definedName>
    <definedName name="IQ_PENSION_BREAKDOWN_PCT_RE_DOM">"c3093"</definedName>
    <definedName name="IQ_PENSION_BREAKDOWN_PCT_RE_FOREIGN">"c3094"</definedName>
    <definedName name="IQ_PENSION_BREAKDOWN_RE">"c3107"</definedName>
    <definedName name="IQ_PENSION_BREAKDOWN_RE_DOM">"c3105"</definedName>
    <definedName name="IQ_PENSION_BREAKDOWN_RE_FOREIGN">"c3106"</definedName>
    <definedName name="IQ_PENSION_CONTRIBUTION_TOTAL_COST">"c3559"</definedName>
    <definedName name="IQ_PENSION_DISC_RATE_MAX">"c3236"</definedName>
    <definedName name="IQ_PENSION_DISC_RATE_MAX_DOM">"c3234"</definedName>
    <definedName name="IQ_PENSION_DISC_RATE_MAX_FOREIGN">"c3235"</definedName>
    <definedName name="IQ_PENSION_DISC_RATE_MIN">"c3233"</definedName>
    <definedName name="IQ_PENSION_DISC_RATE_MIN_DOM">"c3231"</definedName>
    <definedName name="IQ_PENSION_DISC_RATE_MIN_FOREIGN">"c3232"</definedName>
    <definedName name="IQ_PENSION_DISCOUNT_RATE_DOMESTIC">"c3573"</definedName>
    <definedName name="IQ_PENSION_DISCOUNT_RATE_FOREIGN">"c3574"</definedName>
    <definedName name="IQ_PENSION_EST_BENEFIT_1YR">"c3113"</definedName>
    <definedName name="IQ_PENSION_EST_BENEFIT_1YR_DOM">"c3111"</definedName>
    <definedName name="IQ_PENSION_EST_BENEFIT_1YR_FOREIGN">"c3112"</definedName>
    <definedName name="IQ_PENSION_EST_BENEFIT_2YR">"c3116"</definedName>
    <definedName name="IQ_PENSION_EST_BENEFIT_2YR_DOM">"c3114"</definedName>
    <definedName name="IQ_PENSION_EST_BENEFIT_2YR_FOREIGN">"c3115"</definedName>
    <definedName name="IQ_PENSION_EST_BENEFIT_3YR">"c3119"</definedName>
    <definedName name="IQ_PENSION_EST_BENEFIT_3YR_DOM">"c3117"</definedName>
    <definedName name="IQ_PENSION_EST_BENEFIT_3YR_FOREIGN">"c3118"</definedName>
    <definedName name="IQ_PENSION_EST_BENEFIT_4YR">"c3122"</definedName>
    <definedName name="IQ_PENSION_EST_BENEFIT_4YR_DOM">"c3120"</definedName>
    <definedName name="IQ_PENSION_EST_BENEFIT_4YR_FOREIGN">"c3121"</definedName>
    <definedName name="IQ_PENSION_EST_BENEFIT_5YR">"c3125"</definedName>
    <definedName name="IQ_PENSION_EST_BENEFIT_5YR_DOM">"c3123"</definedName>
    <definedName name="IQ_PENSION_EST_BENEFIT_5YR_FOREIGN">"c3124"</definedName>
    <definedName name="IQ_PENSION_EST_BENEFIT_AFTER5">"c3128"</definedName>
    <definedName name="IQ_PENSION_EST_BENEFIT_AFTER5_DOM">"c3126"</definedName>
    <definedName name="IQ_PENSION_EST_BENEFIT_AFTER5_FOREIGN">"c3127"</definedName>
    <definedName name="IQ_PENSION_EST_CONTRIBUTIONS_NEXTYR">"c3218"</definedName>
    <definedName name="IQ_PENSION_EST_CONTRIBUTIONS_NEXTYR_DOM">"c3216"</definedName>
    <definedName name="IQ_PENSION_EST_CONTRIBUTIONS_NEXTYR_FOREIGN">"c3217"</definedName>
    <definedName name="IQ_PENSION_EXP_RATE_RETURN_MAX">"c3248"</definedName>
    <definedName name="IQ_PENSION_EXP_RATE_RETURN_MAX_DOM">"c3246"</definedName>
    <definedName name="IQ_PENSION_EXP_RATE_RETURN_MAX_FOREIGN">"c3247"</definedName>
    <definedName name="IQ_PENSION_EXP_RATE_RETURN_MIN">"c3245"</definedName>
    <definedName name="IQ_PENSION_EXP_RATE_RETURN_MIN_DOM">"c3243"</definedName>
    <definedName name="IQ_PENSION_EXP_RATE_RETURN_MIN_FOREIGN">"c3244"</definedName>
    <definedName name="IQ_PENSION_EXP_RETURN_DOMESTIC">"c3571"</definedName>
    <definedName name="IQ_PENSION_EXP_RETURN_FOREIGN">"c3572"</definedName>
    <definedName name="IQ_PENSION_INTAN_ASSETS">"c3137"</definedName>
    <definedName name="IQ_PENSION_INTAN_ASSETS_DOM">"c3135"</definedName>
    <definedName name="IQ_PENSION_INTAN_ASSETS_FOREIGN">"c3136"</definedName>
    <definedName name="IQ_PENSION_INTEREST_COST">"c3582"</definedName>
    <definedName name="IQ_PENSION_INTEREST_COST_DOM">"c3580"</definedName>
    <definedName name="IQ_PENSION_INTEREST_COST_FOREIGN">"c3581"</definedName>
    <definedName name="IQ_PENSION_NET_ASSET_RECOG">"c3152"</definedName>
    <definedName name="IQ_PENSION_NET_ASSET_RECOG_DOM">"c3150"</definedName>
    <definedName name="IQ_PENSION_NET_ASSET_RECOG_FOREIGN">"c3151"</definedName>
    <definedName name="IQ_PENSION_OBLIGATION_ACQ">"c3206"</definedName>
    <definedName name="IQ_PENSION_OBLIGATION_ACQ_DOM">"c3204"</definedName>
    <definedName name="IQ_PENSION_OBLIGATION_ACQ_FOREIGN">"c3205"</definedName>
    <definedName name="IQ_PENSION_OBLIGATION_ACTUARIAL_GAIN_LOSS">"c3197"</definedName>
    <definedName name="IQ_PENSION_OBLIGATION_ACTUARIAL_GAIN_LOSS_DOM">"c3195"</definedName>
    <definedName name="IQ_PENSION_OBLIGATION_ACTUARIAL_GAIN_LOSS_FOREIGN">"c3196"</definedName>
    <definedName name="IQ_PENSION_OBLIGATION_BEG">"c3185"</definedName>
    <definedName name="IQ_PENSION_OBLIGATION_BEG_DOM">"c3183"</definedName>
    <definedName name="IQ_PENSION_OBLIGATION_BEG_FOREIGN">"c3184"</definedName>
    <definedName name="IQ_PENSION_OBLIGATION_CURTAIL">"c3209"</definedName>
    <definedName name="IQ_PENSION_OBLIGATION_CURTAIL_DOM">"c3207"</definedName>
    <definedName name="IQ_PENSION_OBLIGATION_CURTAIL_FOREIGN">"c3208"</definedName>
    <definedName name="IQ_PENSION_OBLIGATION_EMPLOYEE_CONTRIBUTIONS">"c3194"</definedName>
    <definedName name="IQ_PENSION_OBLIGATION_EMPLOYEE_CONTRIBUTIONS_DOM">"c3192"</definedName>
    <definedName name="IQ_PENSION_OBLIGATION_EMPLOYEE_CONTRIBUTIONS_FOREIGN">"c3193"</definedName>
    <definedName name="IQ_PENSION_OBLIGATION_FX_ADJ">"c3203"</definedName>
    <definedName name="IQ_PENSION_OBLIGATION_FX_ADJ_DOM">"c3201"</definedName>
    <definedName name="IQ_PENSION_OBLIGATION_FX_ADJ_FOREIGN">"c3202"</definedName>
    <definedName name="IQ_PENSION_OBLIGATION_INTEREST_COST">"c3191"</definedName>
    <definedName name="IQ_PENSION_OBLIGATION_INTEREST_COST_DOM">"c3189"</definedName>
    <definedName name="IQ_PENSION_OBLIGATION_INTEREST_COST_FOREIGN">"c3190"</definedName>
    <definedName name="IQ_PENSION_OBLIGATION_OTHER_COST">"c3555"</definedName>
    <definedName name="IQ_PENSION_OBLIGATION_OTHER_COST_DOM">"c3553"</definedName>
    <definedName name="IQ_PENSION_OBLIGATION_OTHER_COST_FOREIGN">"c3554"</definedName>
    <definedName name="IQ_PENSION_OBLIGATION_OTHER_PLAN_ADJ">"c3212"</definedName>
    <definedName name="IQ_PENSION_OBLIGATION_OTHER_PLAN_ADJ_DOM">"c3210"</definedName>
    <definedName name="IQ_PENSION_OBLIGATION_OTHER_PLAN_ADJ_FOREIGN">"c3211"</definedName>
    <definedName name="IQ_PENSION_OBLIGATION_PAID">"c3200"</definedName>
    <definedName name="IQ_PENSION_OBLIGATION_PAID_DOM">"c3198"</definedName>
    <definedName name="IQ_PENSION_OBLIGATION_PAID_FOREIGN">"c3199"</definedName>
    <definedName name="IQ_PENSION_OBLIGATION_PROJECTED">"c3215"</definedName>
    <definedName name="IQ_PENSION_OBLIGATION_PROJECTED_DOM">"c3213"</definedName>
    <definedName name="IQ_PENSION_OBLIGATION_PROJECTED_FOREIGN">"c3214"</definedName>
    <definedName name="IQ_PENSION_OBLIGATION_ROA">"c3552"</definedName>
    <definedName name="IQ_PENSION_OBLIGATION_ROA_DOM">"c3550"</definedName>
    <definedName name="IQ_PENSION_OBLIGATION_ROA_FOREIGN">"c3551"</definedName>
    <definedName name="IQ_PENSION_OBLIGATION_SERVICE_COST">"c3188"</definedName>
    <definedName name="IQ_PENSION_OBLIGATION_SERVICE_COST_DOM">"c3186"</definedName>
    <definedName name="IQ_PENSION_OBLIGATION_SERVICE_COST_FOREIGN">"c3187"</definedName>
    <definedName name="IQ_PENSION_OBLIGATION_TOTAL_COST">"c3558"</definedName>
    <definedName name="IQ_PENSION_OBLIGATION_TOTAL_COST_DOM">"c3556"</definedName>
    <definedName name="IQ_PENSION_OBLIGATION_TOTAL_COST_FOREIGN">"c3557"</definedName>
    <definedName name="IQ_PENSION_OTHER">"c3143"</definedName>
    <definedName name="IQ_PENSION_OTHER_ADJ">"c3149"</definedName>
    <definedName name="IQ_PENSION_OTHER_ADJ_DOM">"c3147"</definedName>
    <definedName name="IQ_PENSION_OTHER_ADJ_FOREIGN">"c3148"</definedName>
    <definedName name="IQ_PENSION_OTHER_DOM">"c3141"</definedName>
    <definedName name="IQ_PENSION_OTHER_FOREIGN">"c3142"</definedName>
    <definedName name="IQ_PENSION_PBO_ASSUMED_RATE_RET_MAX">"c3254"</definedName>
    <definedName name="IQ_PENSION_PBO_ASSUMED_RATE_RET_MAX_DOM">"c3252"</definedName>
    <definedName name="IQ_PENSION_PBO_ASSUMED_RATE_RET_MAX_FOREIGN">"c3253"</definedName>
    <definedName name="IQ_PENSION_PBO_ASSUMED_RATE_RET_MIN">"c3251"</definedName>
    <definedName name="IQ_PENSION_PBO_ASSUMED_RATE_RET_MIN_DOM">"c3249"</definedName>
    <definedName name="IQ_PENSION_PBO_ASSUMED_RATE_RET_MIN_FOREIGN">"c3250"</definedName>
    <definedName name="IQ_PENSION_PBO_RATE_COMP_INCREASE_MAX">"c3260"</definedName>
    <definedName name="IQ_PENSION_PBO_RATE_COMP_INCREASE_MAX_DOM">"c3258"</definedName>
    <definedName name="IQ_PENSION_PBO_RATE_COMP_INCREASE_MAX_FOREIGN">"c3259"</definedName>
    <definedName name="IQ_PENSION_PBO_RATE_COMP_INCREASE_MIN">"c3257"</definedName>
    <definedName name="IQ_PENSION_PBO_RATE_COMP_INCREASE_MIN_DOM">"c3255"</definedName>
    <definedName name="IQ_PENSION_PBO_RATE_COMP_INCREASE_MIN_FOREIGN">"c3256"</definedName>
    <definedName name="IQ_PENSION_PREPAID_COST">"c3131"</definedName>
    <definedName name="IQ_PENSION_PREPAID_COST_DOM">"c3129"</definedName>
    <definedName name="IQ_PENSION_PREPAID_COST_FOREIGN">"c3130"</definedName>
    <definedName name="IQ_PENSION_PROJECTED_OBLIGATION">"c3566"</definedName>
    <definedName name="IQ_PENSION_PROJECTED_OBLIGATION_DOMESTIC">"c3564"</definedName>
    <definedName name="IQ_PENSION_PROJECTED_OBLIGATION_FOREIGN">"c3565"</definedName>
    <definedName name="IQ_PENSION_QUART_ADDL_CONTRIBUTIONS_EXP">"c3224"</definedName>
    <definedName name="IQ_PENSION_QUART_ADDL_CONTRIBUTIONS_EXP_DOM">"c3222"</definedName>
    <definedName name="IQ_PENSION_QUART_ADDL_CONTRIBUTIONS_EXP_FOREIGN">"c3223"</definedName>
    <definedName name="IQ_PENSION_QUART_EMPLOYER_CONTRIBUTIONS">"c3221"</definedName>
    <definedName name="IQ_PENSION_QUART_EMPLOYER_CONTRIBUTIONS_DOM">"c3219"</definedName>
    <definedName name="IQ_PENSION_QUART_EMPLOYER_CONTRIBUTIONS_FOREIGN">"c3220"</definedName>
    <definedName name="IQ_PENSION_RATE_COMP_GROWTH_DOMESTIC">"c3575"</definedName>
    <definedName name="IQ_PENSION_RATE_COMP_GROWTH_FOREIGN">"c3576"</definedName>
    <definedName name="IQ_PENSION_RATE_COMP_INCREASE_MAX">"c3242"</definedName>
    <definedName name="IQ_PENSION_RATE_COMP_INCREASE_MAX_DOM">"c3240"</definedName>
    <definedName name="IQ_PENSION_RATE_COMP_INCREASE_MAX_FOREIGN">"c3241"</definedName>
    <definedName name="IQ_PENSION_RATE_COMP_INCREASE_MIN">"c3239"</definedName>
    <definedName name="IQ_PENSION_RATE_COMP_INCREASE_MIN_DOM">"c3237"</definedName>
    <definedName name="IQ_PENSION_RATE_COMP_INCREASE_MIN_FOREIGN">"c3238"</definedName>
    <definedName name="IQ_PENSION_SERVICE_COST">"c3579"</definedName>
    <definedName name="IQ_PENSION_SERVICE_COST_DOM">"c3577"</definedName>
    <definedName name="IQ_PENSION_SERVICE_COST_FOREIGN">"c3578"</definedName>
    <definedName name="IQ_PENSION_TOTAL_ASSETS">"c3563"</definedName>
    <definedName name="IQ_PENSION_TOTAL_ASSETS_DOMESTIC">"c3561"</definedName>
    <definedName name="IQ_PENSION_TOTAL_ASSETS_FOREIGN">"c3562"</definedName>
    <definedName name="IQ_PENSION_TOTAL_EXP">"c3560"</definedName>
    <definedName name="IQ_PENSION_UNFUNDED_ADDL_MIN_LIAB">"c3227"</definedName>
    <definedName name="IQ_PENSION_UNFUNDED_ADDL_MIN_LIAB_DOM">"c3225"</definedName>
    <definedName name="IQ_PENSION_UNFUNDED_ADDL_MIN_LIAB_FOREIGN">"c3226"</definedName>
    <definedName name="IQ_PENSION_UNRECOG_PRIOR">"c3146"</definedName>
    <definedName name="IQ_PENSION_UNRECOG_PRIOR_DOM">"c3144"</definedName>
    <definedName name="IQ_PENSION_UNRECOG_PRIOR_FOREIGN">"c3145"</definedName>
    <definedName name="IQ_PENSION_UV_LIAB">"c3567"</definedName>
    <definedName name="IQ_PERIODDATE">"c1414"</definedName>
    <definedName name="IQ_PERIODDATE_BS">"c1032"</definedName>
    <definedName name="IQ_PERIODDATE_CF">"c1033"</definedName>
    <definedName name="IQ_PERIODDATE_IS">"c1034"</definedName>
    <definedName name="IQ_PERIODLENGTH_CF">"c1502"</definedName>
    <definedName name="IQ_PERIODLENGTH_IS">"c1503"</definedName>
    <definedName name="IQ_PERTYPE">"c1611"</definedName>
    <definedName name="IQ_PLL">"c2114"</definedName>
    <definedName name="IQ_PMT_FREQ">"c2236"</definedName>
    <definedName name="IQ_POISON_PUT_EFFECT_DATE">"c2486"</definedName>
    <definedName name="IQ_POISON_PUT_EXPIRATION_DATE">"c2487"</definedName>
    <definedName name="IQ_POISON_PUT_PRICE">"c2488"</definedName>
    <definedName name="IQ_POLICY_BENEFITS">"c1036"</definedName>
    <definedName name="IQ_POLICY_COST">"c1037"</definedName>
    <definedName name="IQ_POLICY_LIAB">"c1612"</definedName>
    <definedName name="IQ_POLICY_LOANS">"c1038"</definedName>
    <definedName name="IQ_POST_RETIRE_EXP">"c1039"</definedName>
    <definedName name="IQ_POSTPAID_CHURN">"c2121"</definedName>
    <definedName name="IQ_POSTPAID_SUBS">"c2118"</definedName>
    <definedName name="IQ_PRE_OPEN_COST">"c1040"</definedName>
    <definedName name="IQ_PREF_CONVERT">"c1041"</definedName>
    <definedName name="IQ_PREF_DIV_CF">"c1042"</definedName>
    <definedName name="IQ_PREF_DIV_OTHER">"c1043"</definedName>
    <definedName name="IQ_PREF_DIVID">"c1461"</definedName>
    <definedName name="IQ_PREF_EQUITY">"c1044"</definedName>
    <definedName name="IQ_PREF_ISSUED">"c1045"</definedName>
    <definedName name="IQ_PREF_ISSUED_BNK">"c1046"</definedName>
    <definedName name="IQ_PREF_ISSUED_BR">"c1047"</definedName>
    <definedName name="IQ_PREF_ISSUED_FIN">"c1048"</definedName>
    <definedName name="IQ_PREF_ISSUED_INS">"c1049"</definedName>
    <definedName name="IQ_PREF_ISSUED_REIT">"c1050"</definedName>
    <definedName name="IQ_PREF_ISSUED_UTI">"c1051"</definedName>
    <definedName name="IQ_PREF_NON_REDEEM">"c1052"</definedName>
    <definedName name="IQ_PREF_OTHER">"c1053"</definedName>
    <definedName name="IQ_PREF_OTHER_BNK">"c1054"</definedName>
    <definedName name="IQ_PREF_OTHER_BR">"c1055"</definedName>
    <definedName name="IQ_PREF_OTHER_FIN">"c1056"</definedName>
    <definedName name="IQ_PREF_OTHER_INS">"c1057"</definedName>
    <definedName name="IQ_PREF_OTHER_REIT">"c1058"</definedName>
    <definedName name="IQ_PREF_REDEEM">"c1059"</definedName>
    <definedName name="IQ_PREF_REP">"c1060"</definedName>
    <definedName name="IQ_PREF_REP_BNK">"c1061"</definedName>
    <definedName name="IQ_PREF_REP_BR">"c1062"</definedName>
    <definedName name="IQ_PREF_REP_FIN">"c1063"</definedName>
    <definedName name="IQ_PREF_REP_INS">"c1064"</definedName>
    <definedName name="IQ_PREF_REP_REIT">"c1065"</definedName>
    <definedName name="IQ_PREF_REP_UTI">"c1066"</definedName>
    <definedName name="IQ_PREF_STOCK">"c1416"</definedName>
    <definedName name="IQ_PREF_TOT">"c1415"</definedName>
    <definedName name="IQ_PREMIUMS_ANNUITY_REV">"c1067"</definedName>
    <definedName name="IQ_PREPAID_CHURN">"c2120"</definedName>
    <definedName name="IQ_PREPAID_EXP">"c1068"</definedName>
    <definedName name="IQ_PREPAID_EXPEN">"c1418"</definedName>
    <definedName name="IQ_PREPAID_SUBS">"c2117"</definedName>
    <definedName name="IQ_PRICE_OVER_BVPS">"c1412"</definedName>
    <definedName name="IQ_PRICE_OVER_LTM_EPS">"c1413"</definedName>
    <definedName name="IQ_PRICE_TARGET">"c82"</definedName>
    <definedName name="IQ_PRICEDATE">"c1069"</definedName>
    <definedName name="IQ_PRICING_DATE">"c1613"</definedName>
    <definedName name="IQ_PRIMARY_INDUSTRY">"c1070"</definedName>
    <definedName name="IQ_PRINCIPAL_AMT">"c2157"</definedName>
    <definedName name="IQ_PRO_FORMA_BASIC_EPS">"c1614"</definedName>
    <definedName name="IQ_PRO_FORMA_DILUT_EPS">"c1615"</definedName>
    <definedName name="IQ_PRO_FORMA_NET_INC">"c1452"</definedName>
    <definedName name="IQ_PROFESSIONAL">"c1071"</definedName>
    <definedName name="IQ_PROFESSIONAL_TITLE">"c1072"</definedName>
    <definedName name="IQ_PROJECTED_PENSION_OBLIGATION">"c1292"</definedName>
    <definedName name="IQ_PROJECTED_PENSION_OBLIGATION_DOMESTIC">"c2656"</definedName>
    <definedName name="IQ_PROJECTED_PENSION_OBLIGATION_FOREIGN">"c2664"</definedName>
    <definedName name="IQ_PROPERTY_EXP">"c1073"</definedName>
    <definedName name="IQ_PROPERTY_GROSS">"c1379"</definedName>
    <definedName name="IQ_PROPERTY_MGMT_FEE">"c1074"</definedName>
    <definedName name="IQ_PROPERTY_NET">"c1402"</definedName>
    <definedName name="IQ_PROV_BAD_DEBTS">"c1075"</definedName>
    <definedName name="IQ_PROV_BAD_DEBTS_CF">"c1076"</definedName>
    <definedName name="IQ_PROVISION_10YR_ANN_GROWTH">"c1077"</definedName>
    <definedName name="IQ_PROVISION_1YR_ANN_GROWTH">"c1078"</definedName>
    <definedName name="IQ_PROVISION_2YR_ANN_GROWTH">"c1079"</definedName>
    <definedName name="IQ_PROVISION_3YR_ANN_GROWTH">"c1080"</definedName>
    <definedName name="IQ_PROVISION_5YR_ANN_GROWTH">"c1081"</definedName>
    <definedName name="IQ_PROVISION_7YR_ANN_GROWTH">"c1082"</definedName>
    <definedName name="IQ_PROVISION_CHARGE_OFFS">"c1083"</definedName>
    <definedName name="IQ_PTBV">"c1084"</definedName>
    <definedName name="IQ_PTBV_AVG">"c1085"</definedName>
    <definedName name="IQ_PUT_DATE_SCHEDULE">"c2483"</definedName>
    <definedName name="IQ_PUT_NOTIFICATION">"c2485"</definedName>
    <definedName name="IQ_PUT_PRICE_SCHEDULE">"c2484"</definedName>
    <definedName name="IQ_QTD">750000</definedName>
    <definedName name="IQ_QUICK_RATIO">"c1086"</definedName>
    <definedName name="IQ_RATE_COMP_GROWTH_DOMESTIC">"c1087"</definedName>
    <definedName name="IQ_RATE_COMP_GROWTH_FOREIGN">"c1088"</definedName>
    <definedName name="IQ_RAW_INV">"c1089"</definedName>
    <definedName name="IQ_RC">"c2497"</definedName>
    <definedName name="IQ_RC_PCT">"c2498"</definedName>
    <definedName name="IQ_RD_EXP">"c1090"</definedName>
    <definedName name="IQ_RD_EXP_FN">"c1091"</definedName>
    <definedName name="IQ_RE">"c1092"</definedName>
    <definedName name="IQ_REAL_ESTATE">"c1093"</definedName>
    <definedName name="IQ_REAL_ESTATE_ASSETS">"c1094"</definedName>
    <definedName name="IQ_REDEEM_PREF_STOCK">"c1417"</definedName>
    <definedName name="IQ_REG_ASSETS">"c1095"</definedName>
    <definedName name="IQ_REINSUR_PAY">"c1096"</definedName>
    <definedName name="IQ_REINSUR_PAY_CF">"c1097"</definedName>
    <definedName name="IQ_REINSUR_RECOVER">"c1098"</definedName>
    <definedName name="IQ_REINSUR_RECOVER_CF">"c1099"</definedName>
    <definedName name="IQ_REINSURANCE">"c1100"</definedName>
    <definedName name="IQ_RENTAL_REV">"c1101"</definedName>
    <definedName name="IQ_RESEARCH_DEV">"c1419"</definedName>
    <definedName name="IQ_RESIDENTIAL_LOANS">"c1102"</definedName>
    <definedName name="IQ_RESTATEMENT_BS">"c1643"</definedName>
    <definedName name="IQ_RESTATEMENT_CF">"c1644"</definedName>
    <definedName name="IQ_RESTATEMENT_IS">"c1642"</definedName>
    <definedName name="IQ_RESTR_STOCK_COMP">"c3506"</definedName>
    <definedName name="IQ_RESTR_STOCK_COMP_PRETAX">"c3504"</definedName>
    <definedName name="IQ_RESTR_STOCK_COMP_TAX">"c3505"</definedName>
    <definedName name="IQ_RESTRICTED_CASH">"c1103"</definedName>
    <definedName name="IQ_RESTRUCTURE">"c1104"</definedName>
    <definedName name="IQ_RESTRUCTURE_BNK">"c1105"</definedName>
    <definedName name="IQ_RESTRUCTURE_BR">"c1106"</definedName>
    <definedName name="IQ_RESTRUCTURE_CF">"c1107"</definedName>
    <definedName name="IQ_RESTRUCTURE_FIN">"c1108"</definedName>
    <definedName name="IQ_RESTRUCTURE_INS">"c1109"</definedName>
    <definedName name="IQ_RESTRUCTURE_REIT">"c1110"</definedName>
    <definedName name="IQ_RESTRUCTURE_UTI">"c1111"</definedName>
    <definedName name="IQ_RESTRUCTURED_LOANS">"c1112"</definedName>
    <definedName name="IQ_RETAIL_ACQUIRED_FRANCHISE_STORES">"c2895"</definedName>
    <definedName name="IQ_RETAIL_ACQUIRED_OWNED_STORES">"c2903"</definedName>
    <definedName name="IQ_RETAIL_ACQUIRED_STORES">"c2887"</definedName>
    <definedName name="IQ_RETAIL_AVG_STORE_SIZE_GROSS">"c2066"</definedName>
    <definedName name="IQ_RETAIL_AVG_STORE_SIZE_NET">"c2067"</definedName>
    <definedName name="IQ_RETAIL_AVG_WK_SALES">"c2891"</definedName>
    <definedName name="IQ_RETAIL_AVG_WK_SALES_FRANCHISE">"c2899"</definedName>
    <definedName name="IQ_RETAIL_AVG_WK_SALES_OWNED">"c2907"</definedName>
    <definedName name="IQ_RETAIL_CLOSED_FRANCHISE_STORES">"c2896"</definedName>
    <definedName name="IQ_RETAIL_CLOSED_OWNED_STORES">"c2904"</definedName>
    <definedName name="IQ_RETAIL_CLOSED_STORES">"c2063"</definedName>
    <definedName name="IQ_RETAIL_FRANCHISE_STORES_BEG">"c2893"</definedName>
    <definedName name="IQ_RETAIL_OPENED_FRANCHISE_STORES">"c2894"</definedName>
    <definedName name="IQ_RETAIL_OPENED_OWNED_STORES">"c2902"</definedName>
    <definedName name="IQ_RETAIL_OPENED_STORES">"c2062"</definedName>
    <definedName name="IQ_RETAIL_OWNED_STORES_BEG">"c2901"</definedName>
    <definedName name="IQ_RETAIL_SALES_SQFT_ALL_GROSS">"c2138"</definedName>
    <definedName name="IQ_RETAIL_SALES_SQFT_ALL_NET">"c2139"</definedName>
    <definedName name="IQ_RETAIL_SALES_SQFT_COMPARABLE_GROSS">"c2136"</definedName>
    <definedName name="IQ_RETAIL_SALES_SQFT_COMPARABLE_NET">"c2137"</definedName>
    <definedName name="IQ_RETAIL_SALES_SQFT_OWNED_GROSS">"c2134"</definedName>
    <definedName name="IQ_RETAIL_SALES_SQFT_OWNED_NET">"c2135"</definedName>
    <definedName name="IQ_RETAIL_SOLD_FRANCHISE_STORES">"c2897"</definedName>
    <definedName name="IQ_RETAIL_SOLD_OWNED_STORES">"c2905"</definedName>
    <definedName name="IQ_RETAIL_SOLD_STORES">"c2889"</definedName>
    <definedName name="IQ_RETAIL_SQ_FOOTAGE">"c2064"</definedName>
    <definedName name="IQ_RETAIL_STORE_SELLING_AREA">"c2065"</definedName>
    <definedName name="IQ_RETAIL_STORES_BEG">"c2885"</definedName>
    <definedName name="IQ_RETAIL_TOTAL_FRANCHISE_STORES">"c2898"</definedName>
    <definedName name="IQ_RETAIL_TOTAL_OWNED_STORES">"c2906"</definedName>
    <definedName name="IQ_RETAIL_TOTAL_STORES">"c2061"</definedName>
    <definedName name="IQ_RETAINED_EARN">"c1420"</definedName>
    <definedName name="IQ_RETURN_ASSETS">"c1113"</definedName>
    <definedName name="IQ_RETURN_ASSETS_BANK">"c1114"</definedName>
    <definedName name="IQ_RETURN_ASSETS_BROK">"c1115"</definedName>
    <definedName name="IQ_RETURN_ASSETS_FS">"c1116"</definedName>
    <definedName name="IQ_RETURN_CAPITAL">"c1117"</definedName>
    <definedName name="IQ_RETURN_EQUITY">"c1118"</definedName>
    <definedName name="IQ_RETURN_EQUITY_BANK">"c1119"</definedName>
    <definedName name="IQ_RETURN_EQUITY_BROK">"c1120"</definedName>
    <definedName name="IQ_RETURN_EQUITY_FS">"c1121"</definedName>
    <definedName name="IQ_RETURN_INVESTMENT">"c1421"</definedName>
    <definedName name="IQ_REV">"c1122"</definedName>
    <definedName name="IQ_REV_BEFORE_LL">"c1123"</definedName>
    <definedName name="IQ_REV_STDDEV_EST">"c1124"</definedName>
    <definedName name="IQ_REV_UTI">"c1125"</definedName>
    <definedName name="IQ_REVENUE">"c1422"</definedName>
    <definedName name="IQ_REVENUE_ACT_OR_EST">"c2214"</definedName>
    <definedName name="IQ_REVENUE_EST">"c1126"</definedName>
    <definedName name="IQ_REVENUE_HIGH_EST">"c1127"</definedName>
    <definedName name="IQ_REVENUE_LOW_EST">"c1128"</definedName>
    <definedName name="IQ_REVENUE_MEDIAN_EST">"c1662"</definedName>
    <definedName name="IQ_REVENUE_NUM_EST">"c1129"</definedName>
    <definedName name="IQ_REVISION_DATE_">39358.7858912037</definedName>
    <definedName name="IQ_RISK_ADJ_BANK_ASSETS">"c2670"</definedName>
    <definedName name="IQ_SALARY">"c1130"</definedName>
    <definedName name="IQ_SALE_INTAN_CF">"c1131"</definedName>
    <definedName name="IQ_SALE_INTAN_CF_BNK">"c1132"</definedName>
    <definedName name="IQ_SALE_INTAN_CF_BR">"c1133"</definedName>
    <definedName name="IQ_SALE_INTAN_CF_FIN">"c1134"</definedName>
    <definedName name="IQ_SALE_INTAN_CF_INS">"c1135"</definedName>
    <definedName name="IQ_SALE_INTAN_CF_REIT">"c1627"</definedName>
    <definedName name="IQ_SALE_INTAN_CF_UTI">"c1136"</definedName>
    <definedName name="IQ_SALE_PPE_CF">"c1137"</definedName>
    <definedName name="IQ_SALE_PPE_CF_BNK">"c1138"</definedName>
    <definedName name="IQ_SALE_PPE_CF_BR">"c1139"</definedName>
    <definedName name="IQ_SALE_PPE_CF_FIN">"c1140"</definedName>
    <definedName name="IQ_SALE_PPE_CF_INS">"c1141"</definedName>
    <definedName name="IQ_SALE_PPE_CF_UTI">"c1142"</definedName>
    <definedName name="IQ_SALE_RE_ASSETS">"c1629"</definedName>
    <definedName name="IQ_SALE_REAL_ESTATE_CF">"c1143"</definedName>
    <definedName name="IQ_SALE_REAL_ESTATE_CF_BNK">"c1144"</definedName>
    <definedName name="IQ_SALE_REAL_ESTATE_CF_BR">"c1145"</definedName>
    <definedName name="IQ_SALE_REAL_ESTATE_CF_FIN">"c1146"</definedName>
    <definedName name="IQ_SALE_REAL_ESTATE_CF_INS">"c1147"</definedName>
    <definedName name="IQ_SALE_REAL_ESTATE_CF_UTI">"c1148"</definedName>
    <definedName name="IQ_SALES_MARKETING">"c2240"</definedName>
    <definedName name="IQ_SAME_STORE">"c1149"</definedName>
    <definedName name="IQ_SAME_STORE_FRANCHISE">"c2900"</definedName>
    <definedName name="IQ_SAME_STORE_OWNED">"c2908"</definedName>
    <definedName name="IQ_SAME_STORE_TOTAL">"c2892"</definedName>
    <definedName name="IQ_SAVING_DEP">"c1150"</definedName>
    <definedName name="IQ_SECUR_RECEIV">"c1151"</definedName>
    <definedName name="IQ_SECURED_DEBT">"c2546"</definedName>
    <definedName name="IQ_SECURED_DEBT_PCT">"c2547"</definedName>
    <definedName name="IQ_SECURITY_BORROW">"c1152"</definedName>
    <definedName name="IQ_SECURITY_LEVEL">"c2159"</definedName>
    <definedName name="IQ_SECURITY_NOTES">"c2202"</definedName>
    <definedName name="IQ_SECURITY_OWN">"c1153"</definedName>
    <definedName name="IQ_SECURITY_RESELL">"c1154"</definedName>
    <definedName name="IQ_SECURITY_TYPE">"c2158"</definedName>
    <definedName name="IQ_SEPARATE_ACCT_ASSETS">"c1155"</definedName>
    <definedName name="IQ_SEPARATE_ACCT_LIAB">"c1156"</definedName>
    <definedName name="IQ_SERV_CHARGE_DEPOSITS">"c1157"</definedName>
    <definedName name="IQ_SGA">"c1158"</definedName>
    <definedName name="IQ_SGA_BNK">"c1159"</definedName>
    <definedName name="IQ_SGA_INS">"c1160"</definedName>
    <definedName name="IQ_SGA_MARGIN">"c1898"</definedName>
    <definedName name="IQ_SGA_REIT">"c1161"</definedName>
    <definedName name="IQ_SGA_SUPPL">"c1162"</definedName>
    <definedName name="IQ_SGA_UTI">"c1163"</definedName>
    <definedName name="IQ_SHAREOUTSTANDING">"c1347"</definedName>
    <definedName name="IQ_SHARESOUTSTANDING">"c1164"</definedName>
    <definedName name="IQ_SHORT_INTEREST">"c1165"</definedName>
    <definedName name="IQ_SHORT_INTEREST_OVER_FLOAT">"c1577"</definedName>
    <definedName name="IQ_SHORT_INTEREST_PERCENT">"c1576"</definedName>
    <definedName name="IQ_SHORT_TERM_INVEST">"c1425"</definedName>
    <definedName name="IQ_SMALL_INT_BEAR_CD">"c1166"</definedName>
    <definedName name="IQ_SOFTWARE">"c1167"</definedName>
    <definedName name="IQ_SOURCE">"c1168"</definedName>
    <definedName name="IQ_SP">"c2171"</definedName>
    <definedName name="IQ_SP_BANK">"c2637"</definedName>
    <definedName name="IQ_SP_BANK_ACTION">"c2636"</definedName>
    <definedName name="IQ_SP_BANK_DATE">"c2635"</definedName>
    <definedName name="IQ_SP_DATE">"c2172"</definedName>
    <definedName name="IQ_SP_FIN_ENHANCE_FX">"c2631"</definedName>
    <definedName name="IQ_SP_FIN_ENHANCE_FX_ACTION">"c2630"</definedName>
    <definedName name="IQ_SP_FIN_ENHANCE_FX_DATE">"c2629"</definedName>
    <definedName name="IQ_SP_FIN_ENHANCE_LC">"c2634"</definedName>
    <definedName name="IQ_SP_FIN_ENHANCE_LC_ACTION">"c2633"</definedName>
    <definedName name="IQ_SP_FIN_ENHANCE_LC_DATE">"c2632"</definedName>
    <definedName name="IQ_SP_FIN_STRENGTH_LC_ACTION_LT">"c2625"</definedName>
    <definedName name="IQ_SP_FIN_STRENGTH_LC_ACTION_ST">"c2626"</definedName>
    <definedName name="IQ_SP_FIN_STRENGTH_LC_DATE_LT">"c2623"</definedName>
    <definedName name="IQ_SP_FIN_STRENGTH_LC_DATE_ST">"c2624"</definedName>
    <definedName name="IQ_SP_FIN_STRENGTH_LC_LT">"c2627"</definedName>
    <definedName name="IQ_SP_FIN_STRENGTH_LC_ST">"c2628"</definedName>
    <definedName name="IQ_SP_FX_ACTION_LT">"c2613"</definedName>
    <definedName name="IQ_SP_FX_ACTION_ST">"c2614"</definedName>
    <definedName name="IQ_SP_FX_DATE_LT">"c2611"</definedName>
    <definedName name="IQ_SP_FX_DATE_ST">"c2612"</definedName>
    <definedName name="IQ_SP_FX_LT">"c2615"</definedName>
    <definedName name="IQ_SP_FX_ST">"c2616"</definedName>
    <definedName name="IQ_SP_ISSUE_ACTION">"c2644"</definedName>
    <definedName name="IQ_SP_ISSUE_DATE">"c2643"</definedName>
    <definedName name="IQ_SP_ISSUE_LT">"c2645"</definedName>
    <definedName name="IQ_SP_ISSUE_OUTLOOK_WATCH">"c2650"</definedName>
    <definedName name="IQ_SP_ISSUE_OUTLOOK_WATCH_DATE">"c2649"</definedName>
    <definedName name="IQ_SP_ISSUE_RECOVER">"c2648"</definedName>
    <definedName name="IQ_SP_ISSUE_RECOVER_ACTION">"c2647"</definedName>
    <definedName name="IQ_SP_ISSUE_RECOVER_DATE">"c2646"</definedName>
    <definedName name="IQ_SP_LC_ACTION_LT">"c2619"</definedName>
    <definedName name="IQ_SP_LC_ACTION_ST">"c2620"</definedName>
    <definedName name="IQ_SP_LC_DATE_LT">"c2617"</definedName>
    <definedName name="IQ_SP_LC_DATE_ST">"c2618"</definedName>
    <definedName name="IQ_SP_LC_LT">"c2621"</definedName>
    <definedName name="IQ_SP_LC_ST">"c2622"</definedName>
    <definedName name="IQ_SP_OUTLOOK_WATCH">"c2639"</definedName>
    <definedName name="IQ_SP_OUTLOOK_WATCH_DATE">"c2638"</definedName>
    <definedName name="IQ_SP_REASON">"c2174"</definedName>
    <definedName name="IQ_SP_STATUS">"c2173"</definedName>
    <definedName name="IQ_SPECIAL_DIV_CF">"c1169"</definedName>
    <definedName name="IQ_SPECIAL_DIV_CF_BNK">"c1170"</definedName>
    <definedName name="IQ_SPECIAL_DIV_CF_BR">"c1171"</definedName>
    <definedName name="IQ_SPECIAL_DIV_CF_FIN">"c1172"</definedName>
    <definedName name="IQ_SPECIAL_DIV_CF_INS">"c1173"</definedName>
    <definedName name="IQ_SPECIAL_DIV_CF_REIT">"c1174"</definedName>
    <definedName name="IQ_SPECIAL_DIV_CF_UTI">"c1175"</definedName>
    <definedName name="IQ_SPECIAL_DIV_SHARE">"c3007"</definedName>
    <definedName name="IQ_SR_BONDS_NOTES">"c2501"</definedName>
    <definedName name="IQ_SR_BONDS_NOTES_PCT">"c2502"</definedName>
    <definedName name="IQ_SR_DEBT">"c2526"</definedName>
    <definedName name="IQ_SR_DEBT_EBITDA">"c2552"</definedName>
    <definedName name="IQ_SR_DEBT_EBITDA_CAPEX">"c2553"</definedName>
    <definedName name="IQ_SR_DEBT_PCT">"c2527"</definedName>
    <definedName name="IQ_SR_SUB_DEBT">"c2530"</definedName>
    <definedName name="IQ_SR_SUB_DEBT_EBITDA">"c2556"</definedName>
    <definedName name="IQ_SR_SUB_DEBT_EBITDA_CAPEX">"c2557"</definedName>
    <definedName name="IQ_SR_SUB_DEBT_PCT">"c2531"</definedName>
    <definedName name="IQ_ST_DEBT">"c1176"</definedName>
    <definedName name="IQ_ST_DEBT_BNK">"c1177"</definedName>
    <definedName name="IQ_ST_DEBT_BR">"c1178"</definedName>
    <definedName name="IQ_ST_DEBT_FIN">"c1179"</definedName>
    <definedName name="IQ_ST_DEBT_INS">"c1180"</definedName>
    <definedName name="IQ_ST_DEBT_ISSUED">"c1181"</definedName>
    <definedName name="IQ_ST_DEBT_ISSUED_BNK">"c1182"</definedName>
    <definedName name="IQ_ST_DEBT_ISSUED_BR">"c1183"</definedName>
    <definedName name="IQ_ST_DEBT_ISSUED_FIN">"c1184"</definedName>
    <definedName name="IQ_ST_DEBT_ISSUED_INS">"c1185"</definedName>
    <definedName name="IQ_ST_DEBT_ISSUED_REIT">"c1186"</definedName>
    <definedName name="IQ_ST_DEBT_ISSUED_UTI">"c1187"</definedName>
    <definedName name="IQ_ST_DEBT_PCT">"c2539"</definedName>
    <definedName name="IQ_ST_DEBT_REIT">"c1188"</definedName>
    <definedName name="IQ_ST_DEBT_REPAID">"c1189"</definedName>
    <definedName name="IQ_ST_DEBT_REPAID_BNK">"c1190"</definedName>
    <definedName name="IQ_ST_DEBT_REPAID_BR">"c1191"</definedName>
    <definedName name="IQ_ST_DEBT_REPAID_FIN">"c1192"</definedName>
    <definedName name="IQ_ST_DEBT_REPAID_INS">"c1193"</definedName>
    <definedName name="IQ_ST_DEBT_REPAID_REIT">"c1194"</definedName>
    <definedName name="IQ_ST_DEBT_REPAID_UTI">"c1195"</definedName>
    <definedName name="IQ_ST_DEBT_UTI">"c1196"</definedName>
    <definedName name="IQ_ST_INVEST">"c1197"</definedName>
    <definedName name="IQ_ST_INVEST_UTI">"c1198"</definedName>
    <definedName name="IQ_ST_NOTE_RECEIV">"c1199"</definedName>
    <definedName name="IQ_STATE">"c1200"</definedName>
    <definedName name="IQ_STATUTORY_SURPLUS">"c1201"</definedName>
    <definedName name="IQ_STOCK_BASED">"c1202"</definedName>
    <definedName name="IQ_STOCK_BASED_AT">"c2999"</definedName>
    <definedName name="IQ_STOCK_BASED_CF">"c1203"</definedName>
    <definedName name="IQ_STOCK_BASED_COGS">"c2990"</definedName>
    <definedName name="IQ_STOCK_BASED_COMP">"c3512"</definedName>
    <definedName name="IQ_STOCK_BASED_COMP_PRETAX">"c3510"</definedName>
    <definedName name="IQ_STOCK_BASED_COMP_TAX">"c3511"</definedName>
    <definedName name="IQ_STOCK_BASED_GA">"c2993"</definedName>
    <definedName name="IQ_STOCK_BASED_OTHER">"c2995"</definedName>
    <definedName name="IQ_STOCK_BASED_RD">"c2991"</definedName>
    <definedName name="IQ_STOCK_BASED_SGA">"c2994"</definedName>
    <definedName name="IQ_STOCK_BASED_SM">"c2992"</definedName>
    <definedName name="IQ_STOCK_BASED_TOTAL">"c3040"</definedName>
    <definedName name="IQ_STOCK_OPTIONS_COMP">"c3509"</definedName>
    <definedName name="IQ_STOCK_OPTIONS_COMP_PRETAX">"c3507"</definedName>
    <definedName name="IQ_STOCK_OPTIONS_COMP_TAX">"c3508"</definedName>
    <definedName name="IQ_STRIKE_PRICE_ISSUED">"c1645"</definedName>
    <definedName name="IQ_STRIKE_PRICE_OS">"c1646"</definedName>
    <definedName name="IQ_STW">"c2166"</definedName>
    <definedName name="IQ_SUB_BONDS_NOTES">"c2503"</definedName>
    <definedName name="IQ_SUB_BONDS_NOTES_PCT">"c2504"</definedName>
    <definedName name="IQ_SUB_DEBT">"c2532"</definedName>
    <definedName name="IQ_SUB_DEBT_EBITDA">"c2558"</definedName>
    <definedName name="IQ_SUB_DEBT_EBITDA_CAPEX">"c2559"</definedName>
    <definedName name="IQ_SUB_DEBT_PCT">"c2533"</definedName>
    <definedName name="IQ_SUB_LEASE_AFTER_FIVE">"c1207"</definedName>
    <definedName name="IQ_SUB_LEASE_INC_CY">"c1208"</definedName>
    <definedName name="IQ_SUB_LEASE_INC_CY1">"c1209"</definedName>
    <definedName name="IQ_SUB_LEASE_INC_CY2">"c1210"</definedName>
    <definedName name="IQ_SUB_LEASE_INC_CY3">"c1211"</definedName>
    <definedName name="IQ_SUB_LEASE_INC_CY4">"c1212"</definedName>
    <definedName name="IQ_SUB_LEASE_NEXT_FIVE">"c1213"</definedName>
    <definedName name="IQ_SVA">"c1214"</definedName>
    <definedName name="IQ_TARGET_PRICE_NUM">"c1653"</definedName>
    <definedName name="IQ_TARGET_PRICE_STDDEV">"c1654"</definedName>
    <definedName name="IQ_TAX_BENEFIT_CF_1YR">"c3483"</definedName>
    <definedName name="IQ_TAX_BENEFIT_CF_2YR">"c3484"</definedName>
    <definedName name="IQ_TAX_BENEFIT_CF_3YR">"c3485"</definedName>
    <definedName name="IQ_TAX_BENEFIT_CF_4YR">"c3486"</definedName>
    <definedName name="IQ_TAX_BENEFIT_CF_5YR">"c3487"</definedName>
    <definedName name="IQ_TAX_BENEFIT_CF_AFTER_FIVE">"c3488"</definedName>
    <definedName name="IQ_TAX_BENEFIT_CF_MAX_YEAR">"c3491"</definedName>
    <definedName name="IQ_TAX_BENEFIT_CF_NO_EXP">"c3489"</definedName>
    <definedName name="IQ_TAX_BENEFIT_CF_TOTAL">"c3490"</definedName>
    <definedName name="IQ_TAX_BENEFIT_OPTIONS">"c1215"</definedName>
    <definedName name="IQ_TAX_EQUIV_NET_INT_INC">"c1216"</definedName>
    <definedName name="IQ_TBV">"c1906"</definedName>
    <definedName name="IQ_TBV_10YR_ANN_GROWTH">"c1936"</definedName>
    <definedName name="IQ_TBV_1YR_ANN_GROWTH">"c1931"</definedName>
    <definedName name="IQ_TBV_2YR_ANN_GROWTH">"c1932"</definedName>
    <definedName name="IQ_TBV_3YR_ANN_GROWTH">"c1933"</definedName>
    <definedName name="IQ_TBV_5YR_ANN_GROWTH">"c1934"</definedName>
    <definedName name="IQ_TBV_7YR_ANN_GROWTH">"c1935"</definedName>
    <definedName name="IQ_TBV_SHARE">"c1217"</definedName>
    <definedName name="IQ_TEMPLATE">"c1521"</definedName>
    <definedName name="IQ_TENANT">"c1218"</definedName>
    <definedName name="IQ_TERM_LOANS">"c2499"</definedName>
    <definedName name="IQ_TERM_LOANS_PCT">"c2500"</definedName>
    <definedName name="IQ_TEV">"c1219"</definedName>
    <definedName name="IQ_TEV_EBIT">"c1220"</definedName>
    <definedName name="IQ_TEV_EBIT_AVG">"c1221"</definedName>
    <definedName name="IQ_TEV_EBITDA">"c1222"</definedName>
    <definedName name="IQ_TEV_EBITDA_AVG">"c1223"</definedName>
    <definedName name="IQ_TEV_EBITDA_FWD">"c1224"</definedName>
    <definedName name="IQ_TEV_EMPLOYEE_AVG">"c1225"</definedName>
    <definedName name="IQ_TEV_TOTAL_REV">"c1226"</definedName>
    <definedName name="IQ_TEV_TOTAL_REV_AVG">"c1227"</definedName>
    <definedName name="IQ_TEV_TOTAL_REV_FWD">"c1228"</definedName>
    <definedName name="IQ_TEV_UFCF">"c2208"</definedName>
    <definedName name="IQ_TIER_ONE_CAPITAL">"c2667"</definedName>
    <definedName name="IQ_TIER_ONE_RATIO">"c1229"</definedName>
    <definedName name="IQ_TIER_TWO_CAPITAL">"c2669"</definedName>
    <definedName name="IQ_TIME_DEP">"c1230"</definedName>
    <definedName name="IQ_TODAY">0</definedName>
    <definedName name="IQ_TOT_ADJ_INC">"c1616"</definedName>
    <definedName name="IQ_TOTAL_AR_BR">"c1231"</definedName>
    <definedName name="IQ_TOTAL_AR_REIT">"c1232"</definedName>
    <definedName name="IQ_TOTAL_AR_UTI">"c1233"</definedName>
    <definedName name="IQ_TOTAL_ASSETS">"c1234"</definedName>
    <definedName name="IQ_TOTAL_ASSETS_10YR_ANN_GROWTH">"c1235"</definedName>
    <definedName name="IQ_TOTAL_ASSETS_1YR_ANN_GROWTH">"c1236"</definedName>
    <definedName name="IQ_TOTAL_ASSETS_2YR_ANN_GROWTH">"c1237"</definedName>
    <definedName name="IQ_TOTAL_ASSETS_3YR_ANN_GROWTH">"c1238"</definedName>
    <definedName name="IQ_TOTAL_ASSETS_5YR_ANN_GROWTH">"c1239"</definedName>
    <definedName name="IQ_TOTAL_ASSETS_7YR_ANN_GROWTH">"c1240"</definedName>
    <definedName name="IQ_TOTAL_AVG_CE_TOTAL_AVG_ASSETS">"c1241"</definedName>
    <definedName name="IQ_TOTAL_AVG_EQUITY_TOTAL_AVG_ASSETS">"c1242"</definedName>
    <definedName name="IQ_TOTAL_BANK_CAPITAL">"c2668"</definedName>
    <definedName name="IQ_TOTAL_CA">"c1243"</definedName>
    <definedName name="IQ_TOTAL_CAP">"c1507"</definedName>
    <definedName name="IQ_TOTAL_CAPITAL_RATIO">"c1244"</definedName>
    <definedName name="IQ_TOTAL_CASH_DIVID">"c1455"</definedName>
    <definedName name="IQ_TOTAL_CASH_FINAN">"c1352"</definedName>
    <definedName name="IQ_TOTAL_CASH_INVEST">"c1353"</definedName>
    <definedName name="IQ_TOTAL_CASH_OPER">"c1354"</definedName>
    <definedName name="IQ_TOTAL_CHURN">"c2122"</definedName>
    <definedName name="IQ_TOTAL_CL">"c1245"</definedName>
    <definedName name="IQ_TOTAL_COMMON">"c1411"</definedName>
    <definedName name="IQ_TOTAL_COMMON_EQUITY">"c1246"</definedName>
    <definedName name="IQ_TOTAL_CURRENT_ASSETS">"c1430"</definedName>
    <definedName name="IQ_TOTAL_CURRENT_LIAB">"c1431"</definedName>
    <definedName name="IQ_TOTAL_DEBT">"c1247"</definedName>
    <definedName name="IQ_TOTAL_DEBT_CAPITAL">"c1248"</definedName>
    <definedName name="IQ_TOTAL_DEBT_EBITDA">"c1249"</definedName>
    <definedName name="IQ_TOTAL_DEBT_EBITDA_CAPEX">"c2948"</definedName>
    <definedName name="IQ_TOTAL_DEBT_EQUITY">"c1250"</definedName>
    <definedName name="IQ_TOTAL_DEBT_EXCL_FIN">"c2937"</definedName>
    <definedName name="IQ_TOTAL_DEBT_ISSUED">"c1251"</definedName>
    <definedName name="IQ_TOTAL_DEBT_ISSUED_BNK">"c1252"</definedName>
    <definedName name="IQ_TOTAL_DEBT_ISSUED_BR">"c1253"</definedName>
    <definedName name="IQ_TOTAL_DEBT_ISSUED_FIN">"c1254"</definedName>
    <definedName name="IQ_TOTAL_DEBT_ISSUED_REIT">"c1255"</definedName>
    <definedName name="IQ_TOTAL_DEBT_ISSUED_UTI">"c1256"</definedName>
    <definedName name="IQ_TOTAL_DEBT_ISSUES_INS">"c1257"</definedName>
    <definedName name="IQ_TOTAL_DEBT_OVER_EBITDA">"c1433"</definedName>
    <definedName name="IQ_TOTAL_DEBT_OVER_TOTAL_BV">"c1434"</definedName>
    <definedName name="IQ_TOTAL_DEBT_OVER_TOTAL_CAP">"c1432"</definedName>
    <definedName name="IQ_TOTAL_DEBT_REPAID">"c1258"</definedName>
    <definedName name="IQ_TOTAL_DEBT_REPAID_BNK">"c1259"</definedName>
    <definedName name="IQ_TOTAL_DEBT_REPAID_BR">"c1260"</definedName>
    <definedName name="IQ_TOTAL_DEBT_REPAID_FIN">"c1261"</definedName>
    <definedName name="IQ_TOTAL_DEBT_REPAID_INS">"c1262"</definedName>
    <definedName name="IQ_TOTAL_DEBT_REPAID_REIT">"c1263"</definedName>
    <definedName name="IQ_TOTAL_DEBT_REPAID_UTI">"c1264"</definedName>
    <definedName name="IQ_TOTAL_DEPOSITS">"c1265"</definedName>
    <definedName name="IQ_TOTAL_DIV_PAID_CF">"c1266"</definedName>
    <definedName name="IQ_TOTAL_EMPLOYEE">"c2141"</definedName>
    <definedName name="IQ_TOTAL_EMPLOYEES">"c1522"</definedName>
    <definedName name="IQ_TOTAL_EQUITY">"c1267"</definedName>
    <definedName name="IQ_TOTAL_EQUITY_10YR_ANN_GROWTH">"c1268"</definedName>
    <definedName name="IQ_TOTAL_EQUITY_1YR_ANN_GROWTH">"c1269"</definedName>
    <definedName name="IQ_TOTAL_EQUITY_2YR_ANN_GROWTH">"c1270"</definedName>
    <definedName name="IQ_TOTAL_EQUITY_3YR_ANN_GROWTH">"c1271"</definedName>
    <definedName name="IQ_TOTAL_EQUITY_5YR_ANN_GROWTH">"c1272"</definedName>
    <definedName name="IQ_TOTAL_EQUITY_7YR_ANN_GROWTH">"c1273"</definedName>
    <definedName name="IQ_TOTAL_EQUITY_ALLOWANCE_TOTAL_LOANS">"c1274"</definedName>
    <definedName name="IQ_TOTAL_INTEREST_EXP">"c1382"</definedName>
    <definedName name="IQ_TOTAL_INVENTORY">"c1385"</definedName>
    <definedName name="IQ_TOTAL_INVEST">"c1275"</definedName>
    <definedName name="IQ_TOTAL_LIAB">"c1276"</definedName>
    <definedName name="IQ_TOTAL_LIAB_BNK">"c1277"</definedName>
    <definedName name="IQ_TOTAL_LIAB_BR">"c1278"</definedName>
    <definedName name="IQ_TOTAL_LIAB_EQUITY">"c1279"</definedName>
    <definedName name="IQ_TOTAL_LIAB_FIN">"c1280"</definedName>
    <definedName name="IQ_TOTAL_LIAB_INS">"c1281"</definedName>
    <definedName name="IQ_TOTAL_LIAB_REIT">"c1282"</definedName>
    <definedName name="IQ_TOTAL_LIAB_SHAREHOLD">"c1435"</definedName>
    <definedName name="IQ_TOTAL_LIAB_TOTAL_ASSETS">"c1283"</definedName>
    <definedName name="IQ_TOTAL_LONG_DEBT">"c1617"</definedName>
    <definedName name="IQ_TOTAL_NON_REC">"c1444"</definedName>
    <definedName name="IQ_TOTAL_OPER_EXP_BR">"c1284"</definedName>
    <definedName name="IQ_TOTAL_OPER_EXP_FIN">"c1285"</definedName>
    <definedName name="IQ_TOTAL_OPER_EXP_INS">"c1286"</definedName>
    <definedName name="IQ_TOTAL_OPER_EXP_REIT">"c1287"</definedName>
    <definedName name="IQ_TOTAL_OPER_EXP_UTI">"c1288"</definedName>
    <definedName name="IQ_TOTAL_OPER_EXPEN">"c1445"</definedName>
    <definedName name="IQ_TOTAL_OPTIONS_BEG_OS">"c2693"</definedName>
    <definedName name="IQ_TOTAL_OPTIONS_CANCELLED">"c2696"</definedName>
    <definedName name="IQ_TOTAL_OPTIONS_END_OS">"c2697"</definedName>
    <definedName name="IQ_TOTAL_OPTIONS_EXERCISED">"c2695"</definedName>
    <definedName name="IQ_TOTAL_OPTIONS_GRANTED">"c2694"</definedName>
    <definedName name="IQ_TOTAL_OTHER_OPER">"c1289"</definedName>
    <definedName name="IQ_TOTAL_OUTSTANDING_BS_DATE">"c1022"</definedName>
    <definedName name="IQ_TOTAL_OUTSTANDING_FILING_DATE">"c2107"</definedName>
    <definedName name="IQ_TOTAL_PENSION_ASSETS">"c1290"</definedName>
    <definedName name="IQ_TOTAL_PENSION_ASSETS_DOMESTIC">"c2658"</definedName>
    <definedName name="IQ_TOTAL_PENSION_ASSETS_FOREIGN">"c2666"</definedName>
    <definedName name="IQ_TOTAL_PENSION_EXP">"c1291"</definedName>
    <definedName name="IQ_TOTAL_PRINCIPAL">"c2509"</definedName>
    <definedName name="IQ_TOTAL_PRINCIPAL_PCT">"c2510"</definedName>
    <definedName name="IQ_TOTAL_PROVED_RESERVES_NGL">"c2924"</definedName>
    <definedName name="IQ_TOTAL_PROVED_RESERVES_OIL">"c2040"</definedName>
    <definedName name="IQ_TOTAL_RECEIV">"c1293"</definedName>
    <definedName name="IQ_TOTAL_REV">"c1294"</definedName>
    <definedName name="IQ_TOTAL_REV_10YR_ANN_GROWTH">"c1295"</definedName>
    <definedName name="IQ_TOTAL_REV_1YR_ANN_GROWTH">"c1296"</definedName>
    <definedName name="IQ_TOTAL_REV_2YR_ANN_GROWTH">"c1297"</definedName>
    <definedName name="IQ_TOTAL_REV_3YR_ANN_GROWTH">"c1298"</definedName>
    <definedName name="IQ_TOTAL_REV_5YR_ANN_GROWTH">"c1299"</definedName>
    <definedName name="IQ_TOTAL_REV_7YR_ANN_GROWTH">"c1300"</definedName>
    <definedName name="IQ_TOTAL_REV_AS_REPORTED">"c1301"</definedName>
    <definedName name="IQ_TOTAL_REV_BNK">"c1302"</definedName>
    <definedName name="IQ_TOTAL_REV_BR">"c1303"</definedName>
    <definedName name="IQ_TOTAL_REV_EMPLOYEE">"c1304"</definedName>
    <definedName name="IQ_TOTAL_REV_FIN">"c1305"</definedName>
    <definedName name="IQ_TOTAL_REV_INS">"c1306"</definedName>
    <definedName name="IQ_TOTAL_REV_REIT">"c1307"</definedName>
    <definedName name="IQ_TOTAL_REV_SHARE">"c1912"</definedName>
    <definedName name="IQ_TOTAL_REV_UTI">"c1308"</definedName>
    <definedName name="IQ_TOTAL_REVENUE">"c1436"</definedName>
    <definedName name="IQ_TOTAL_SPECIAL">"c1618"</definedName>
    <definedName name="IQ_TOTAL_ST_BORROW">"c1424"</definedName>
    <definedName name="IQ_TOTAL_SUB_DEBT">"c2528"</definedName>
    <definedName name="IQ_TOTAL_SUB_DEBT_EBITDA">"c2554"</definedName>
    <definedName name="IQ_TOTAL_SUB_DEBT_EBITDA_CAPEX">"c2555"</definedName>
    <definedName name="IQ_TOTAL_SUB_DEBT_PCT">"c2529"</definedName>
    <definedName name="IQ_TOTAL_SUBS">"c2119"</definedName>
    <definedName name="IQ_TOTAL_UNUSUAL">"c1508"</definedName>
    <definedName name="IQ_TOTAL_WARRANTS_BEG_OS">"c2719"</definedName>
    <definedName name="IQ_TOTAL_WARRANTS_CANCELLED">"c2722"</definedName>
    <definedName name="IQ_TOTAL_WARRANTS_END_OS">"c2723"</definedName>
    <definedName name="IQ_TOTAL_WARRANTS_EXERCISED">"c2721"</definedName>
    <definedName name="IQ_TOTAL_WARRANTS_ISSUED">"c2720"</definedName>
    <definedName name="IQ_TR_ACCT_METHOD">"c2363"</definedName>
    <definedName name="IQ_TR_ACQ_52_WK_HI_PCT">"c2348"</definedName>
    <definedName name="IQ_TR_ACQ_52_WK_LOW_PCT">"c2347"</definedName>
    <definedName name="IQ_TR_ACQ_CASH_ST_INVEST">"c2372"</definedName>
    <definedName name="IQ_TR_ACQ_CLOSEPRICE_1D">"c3027"</definedName>
    <definedName name="IQ_TR_ACQ_DILUT_EPS_EXCL">"c3028"</definedName>
    <definedName name="IQ_TR_ACQ_EARNING_CO">"c2379"</definedName>
    <definedName name="IQ_TR_ACQ_EBIT">"c2380"</definedName>
    <definedName name="IQ_TR_ACQ_EBITDA">"c2381"</definedName>
    <definedName name="IQ_TR_ACQ_FILING_CURRENCY">"c3033"</definedName>
    <definedName name="IQ_TR_ACQ_MCAP_1DAY">"c2345"</definedName>
    <definedName name="IQ_TR_ACQ_MIN_INT">"c2374"</definedName>
    <definedName name="IQ_TR_ACQ_NET_DEBT">"c2373"</definedName>
    <definedName name="IQ_TR_ACQ_NI">"c2378"</definedName>
    <definedName name="IQ_TR_ACQ_PRICEDATE_1D">"c2346"</definedName>
    <definedName name="IQ_TR_ACQ_RETURN">"c2349"</definedName>
    <definedName name="IQ_TR_ACQ_STOCKYEARHIGH_1D">"c2343"</definedName>
    <definedName name="IQ_TR_ACQ_STOCKYEARLOW_1D">"c2344"</definedName>
    <definedName name="IQ_TR_ACQ_TOTAL_ASSETS">"c2371"</definedName>
    <definedName name="IQ_TR_ACQ_TOTAL_COMMON_EQ">"c2377"</definedName>
    <definedName name="IQ_TR_ACQ_TOTAL_DEBT">"c2376"</definedName>
    <definedName name="IQ_TR_ACQ_TOTAL_PREF">"c2375"</definedName>
    <definedName name="IQ_TR_ACQ_TOTAL_REV">"c2382"</definedName>
    <definedName name="IQ_TR_ADJ_SIZE">"c3024"</definedName>
    <definedName name="IQ_TR_ANN_DATE">"c2395"</definedName>
    <definedName name="IQ_TR_ANN_DATE_BL">"c2394"</definedName>
    <definedName name="IQ_TR_BID_DATE">"c2357"</definedName>
    <definedName name="IQ_TR_BLUESKY_FEES">"c2277"</definedName>
    <definedName name="IQ_TR_BUY_ACC_ADVISORS">"c3048"</definedName>
    <definedName name="IQ_TR_BUY_FIN_ADVISORS">"c3045"</definedName>
    <definedName name="IQ_TR_BUY_LEG_ADVISORS">"c2387"</definedName>
    <definedName name="IQ_TR_BUYER_ID">"c2404"</definedName>
    <definedName name="IQ_TR_BUYERNAME">"c2401"</definedName>
    <definedName name="IQ_TR_CANCELLED_DATE">"c2284"</definedName>
    <definedName name="IQ_TR_CASH_CONSID_PCT">"c2296"</definedName>
    <definedName name="IQ_TR_CASH_ST_INVEST">"c3025"</definedName>
    <definedName name="IQ_TR_CHANGE_CONTROL">"c2365"</definedName>
    <definedName name="IQ_TR_CLOSED_DATE">"c2283"</definedName>
    <definedName name="IQ_TR_CO_NET_PROCEEDS">"c2268"</definedName>
    <definedName name="IQ_TR_CO_NET_PROCEEDS_PCT">"c2270"</definedName>
    <definedName name="IQ_TR_COMMENTS">"c2383"</definedName>
    <definedName name="IQ_TR_CURRENCY">"c3016"</definedName>
    <definedName name="IQ_TR_DEAL_ATTITUDE">"c2364"</definedName>
    <definedName name="IQ_TR_DEAL_CONDITIONS">"c2367"</definedName>
    <definedName name="IQ_TR_DEAL_RESOLUTION">"c2391"</definedName>
    <definedName name="IQ_TR_DEAL_RESPONSES">"c2366"</definedName>
    <definedName name="IQ_TR_DEBT_CONSID_PCT">"c2299"</definedName>
    <definedName name="IQ_TR_DEF_AGRMT_DATE">"c2285"</definedName>
    <definedName name="IQ_TR_DISCLOSED_FEES_EXP">"c2288"</definedName>
    <definedName name="IQ_TR_EARNOUTS">"c3023"</definedName>
    <definedName name="IQ_TR_EXPIRED_DATE">"c2412"</definedName>
    <definedName name="IQ_TR_GROSS_OFFERING_AMT">"c2262"</definedName>
    <definedName name="IQ_TR_HYBRID_CONSID_PCT">"c2300"</definedName>
    <definedName name="IQ_TR_IMPLIED_EQ">"c3018"</definedName>
    <definedName name="IQ_TR_IMPLIED_EQ_BV">"c3019"</definedName>
    <definedName name="IQ_TR_IMPLIED_EQ_NI_LTM">"c3020"</definedName>
    <definedName name="IQ_TR_IMPLIED_EV">"c2301"</definedName>
    <definedName name="IQ_TR_IMPLIED_EV_BV">"c2306"</definedName>
    <definedName name="IQ_TR_IMPLIED_EV_EBIT">"c2302"</definedName>
    <definedName name="IQ_TR_IMPLIED_EV_EBITDA">"c2303"</definedName>
    <definedName name="IQ_TR_IMPLIED_EV_NI_LTM">"c2307"</definedName>
    <definedName name="IQ_TR_IMPLIED_EV_REV">"c2304"</definedName>
    <definedName name="IQ_TR_INIT_FILED_DATE">"c3495"</definedName>
    <definedName name="IQ_TR_LOI_DATE">"c2282"</definedName>
    <definedName name="IQ_TR_MAJ_MIN_STAKE">"c2389"</definedName>
    <definedName name="IQ_TR_NEGOTIATED_BUYBACK_PRICE">"c2414"</definedName>
    <definedName name="IQ_TR_NET_ASSUM_LIABILITIES">"c2308"</definedName>
    <definedName name="IQ_TR_NET_PROCEEDS">"c2267"</definedName>
    <definedName name="IQ_TR_OFFER_DATE">"c2265"</definedName>
    <definedName name="IQ_TR_OFFER_DATE_MA">"c3035"</definedName>
    <definedName name="IQ_TR_OFFER_PER_SHARE">"c3017"</definedName>
    <definedName name="IQ_TR_OPTIONS_CONSID_PCT">"c2311"</definedName>
    <definedName name="IQ_TR_OTHER_CONSID">"c3022"</definedName>
    <definedName name="IQ_TR_PCT_SOUGHT">"c2309"</definedName>
    <definedName name="IQ_TR_PFEATURES">"c2384"</definedName>
    <definedName name="IQ_TR_PIPE_CONV_PRICE_SHARE">"c2292"</definedName>
    <definedName name="IQ_TR_PIPE_CPN_PCT">"c2291"</definedName>
    <definedName name="IQ_TR_PIPE_NUMBER_SHARES">"c2293"</definedName>
    <definedName name="IQ_TR_PIPE_PPS">"c2290"</definedName>
    <definedName name="IQ_TR_POSTMONEY_VAL">"c2286"</definedName>
    <definedName name="IQ_TR_PREDEAL_SITUATION">"c2390"</definedName>
    <definedName name="IQ_TR_PREF_CONSID_PCT">"c2310"</definedName>
    <definedName name="IQ_TR_PREMONEY_VAL">"c2287"</definedName>
    <definedName name="IQ_TR_PRINTING_FEES">"c2276"</definedName>
    <definedName name="IQ_TR_PT_MONETARY_VALUES">"c2415"</definedName>
    <definedName name="IQ_TR_PT_NUMBER_SHARES">"c2417"</definedName>
    <definedName name="IQ_TR_PT_PCT_SHARES">"c2416"</definedName>
    <definedName name="IQ_TR_RATING_FEES">"c2275"</definedName>
    <definedName name="IQ_TR_REG_EFFECT_DATE">"c2264"</definedName>
    <definedName name="IQ_TR_REG_FILED_DATE">"c2263"</definedName>
    <definedName name="IQ_TR_RENEWAL_BUYBACK">"c2413"</definedName>
    <definedName name="IQ_TR_ROUND_NUMBER">"c2295"</definedName>
    <definedName name="IQ_TR_SEC_FEES">"c2274"</definedName>
    <definedName name="IQ_TR_SECURITY_TYPE_REG">"c2279"</definedName>
    <definedName name="IQ_TR_SELL_ACC_ADVISORS">"c3049"</definedName>
    <definedName name="IQ_TR_SELL_FIN_ADVISORS">"c3046"</definedName>
    <definedName name="IQ_TR_SELL_LEG_ADVISORS">"c2388"</definedName>
    <definedName name="IQ_TR_SELLER_ID">"c2406"</definedName>
    <definedName name="IQ_TR_SELLERNAME">"c2402"</definedName>
    <definedName name="IQ_TR_SFEATURES">"c2385"</definedName>
    <definedName name="IQ_TR_SH_NET_PROCEEDS">"c2269"</definedName>
    <definedName name="IQ_TR_SH_NET_PROCEEDS_PCT">"c2271"</definedName>
    <definedName name="IQ_TR_SPECIAL_COMMITTEE">"c2362"</definedName>
    <definedName name="IQ_TR_STATUS">"c2399"</definedName>
    <definedName name="IQ_TR_STOCK_CONSID_PCT">"c2312"</definedName>
    <definedName name="IQ_TR_SUSPENDED_DATE">"c2407"</definedName>
    <definedName name="IQ_TR_TARGET_52WKHI_PCT">"c2351"</definedName>
    <definedName name="IQ_TR_TARGET_52WKLOW_PCT">"c2350"</definedName>
    <definedName name="IQ_TR_TARGET_ACC_ADVISORS">"c3047"</definedName>
    <definedName name="IQ_TR_TARGET_CASH_ST_INVEST">"c2327"</definedName>
    <definedName name="IQ_TR_TARGET_CLOSEPRICE_1D">"c2352"</definedName>
    <definedName name="IQ_TR_TARGET_CLOSEPRICE_1M">"c2354"</definedName>
    <definedName name="IQ_TR_TARGET_CLOSEPRICE_1W">"c2353"</definedName>
    <definedName name="IQ_TR_TARGET_DILUT_EPS_EXCL">"c2324"</definedName>
    <definedName name="IQ_TR_TARGET_EARNING_CO">"c2332"</definedName>
    <definedName name="IQ_TR_TARGET_EBIT">"c2333"</definedName>
    <definedName name="IQ_TR_TARGET_EBITDA">"c2334"</definedName>
    <definedName name="IQ_TR_TARGET_FILING_CURRENCY">"c3034"</definedName>
    <definedName name="IQ_TR_TARGET_FIN_ADVISORS">"c3044"</definedName>
    <definedName name="IQ_TR_TARGET_ID">"c2405"</definedName>
    <definedName name="IQ_TR_TARGET_LEG_ADVISORS">"c2386"</definedName>
    <definedName name="IQ_TR_TARGET_MARKETCAP">"c2342"</definedName>
    <definedName name="IQ_TR_TARGET_MIN_INT">"c2328"</definedName>
    <definedName name="IQ_TR_TARGET_NET_DEBT">"c2326"</definedName>
    <definedName name="IQ_TR_TARGET_NI">"c2331"</definedName>
    <definedName name="IQ_TR_TARGET_PRICEDATE_1D">"c2341"</definedName>
    <definedName name="IQ_TR_TARGET_RETURN">"c2355"</definedName>
    <definedName name="IQ_TR_TARGET_SEC_DETAIL">"c3021"</definedName>
    <definedName name="IQ_TR_TARGET_SEC_TI_ID">"c2368"</definedName>
    <definedName name="IQ_TR_TARGET_SEC_TYPE">"c2369"</definedName>
    <definedName name="IQ_TR_TARGET_SPD">"c2313"</definedName>
    <definedName name="IQ_TR_TARGET_SPD_PCT">"c2314"</definedName>
    <definedName name="IQ_TR_TARGET_STOCKPREMIUM_1D">"c2336"</definedName>
    <definedName name="IQ_TR_TARGET_STOCKPREMIUM_1M">"c2337"</definedName>
    <definedName name="IQ_TR_TARGET_STOCKPREMIUM_1W">"c2338"</definedName>
    <definedName name="IQ_TR_TARGET_STOCKYEARHIGH_1D">"c2339"</definedName>
    <definedName name="IQ_TR_TARGET_STOCKYEARLOW_1D">"c2340"</definedName>
    <definedName name="IQ_TR_TARGET_TOTAL_ASSETS">"c2325"</definedName>
    <definedName name="IQ_TR_TARGET_TOTAL_COMMON_EQ">"c2421"</definedName>
    <definedName name="IQ_TR_TARGET_TOTAL_DEBT">"c2330"</definedName>
    <definedName name="IQ_TR_TARGET_TOTAL_PREF">"c2329"</definedName>
    <definedName name="IQ_TR_TARGET_TOTAL_REV">"c2335"</definedName>
    <definedName name="IQ_TR_TARGETNAME">"c2403"</definedName>
    <definedName name="IQ_TR_TERM_FEE">"c2298"</definedName>
    <definedName name="IQ_TR_TERM_FEE_PCT">"c2297"</definedName>
    <definedName name="IQ_TR_TODATE">"c3036"</definedName>
    <definedName name="IQ_TR_TODATE_MONETARY_VALUE">"c2418"</definedName>
    <definedName name="IQ_TR_TODATE_NUMBER_SHARES">"c2420"</definedName>
    <definedName name="IQ_TR_TODATE_PCT_SHARES">"c2419"</definedName>
    <definedName name="IQ_TR_TOTAL_ACCT_FEES">"c2273"</definedName>
    <definedName name="IQ_TR_TOTAL_CASH">"c2315"</definedName>
    <definedName name="IQ_TR_TOTAL_CONSID_SH">"c2316"</definedName>
    <definedName name="IQ_TR_TOTAL_DEBT">"c2317"</definedName>
    <definedName name="IQ_TR_TOTAL_GROSS_TV">"c2318"</definedName>
    <definedName name="IQ_TR_TOTAL_HYBRID">"c2319"</definedName>
    <definedName name="IQ_TR_TOTAL_LEGAL_FEES">"c2272"</definedName>
    <definedName name="IQ_TR_TOTAL_NET_TV">"c2320"</definedName>
    <definedName name="IQ_TR_TOTAL_NEWMONEY">"c2289"</definedName>
    <definedName name="IQ_TR_TOTAL_OPTIONS">"c2322"</definedName>
    <definedName name="IQ_TR_TOTAL_OPTIONS_BUYER">"c3026"</definedName>
    <definedName name="IQ_TR_TOTAL_PREFERRED">"c2321"</definedName>
    <definedName name="IQ_TR_TOTAL_REG_AMT">"c2261"</definedName>
    <definedName name="IQ_TR_TOTAL_STOCK">"c2323"</definedName>
    <definedName name="IQ_TR_TOTAL_TAKEDOWNS">"c2278"</definedName>
    <definedName name="IQ_TR_TOTAL_UW_COMP">"c2280"</definedName>
    <definedName name="IQ_TR_TOTALVALUE">"c2400"</definedName>
    <definedName name="IQ_TR_TRANSACTION_TYPE">"c2398"</definedName>
    <definedName name="IQ_TR_WITHDRAWN_DTE">"c2266"</definedName>
    <definedName name="IQ_TRADE_AR">"c1345"</definedName>
    <definedName name="IQ_TRADE_PRINCIPAL">"c1309"</definedName>
    <definedName name="IQ_TRADING_ASSETS">"c1310"</definedName>
    <definedName name="IQ_TRADING_CURRENCY">"c2212"</definedName>
    <definedName name="IQ_TREASURY">"c1311"</definedName>
    <definedName name="IQ_TREASURY_OTHER_EQUITY">"c1312"</definedName>
    <definedName name="IQ_TREASURY_OTHER_EQUITY_BNK">"c1313"</definedName>
    <definedName name="IQ_TREASURY_OTHER_EQUITY_BR">"c1314"</definedName>
    <definedName name="IQ_TREASURY_OTHER_EQUITY_FIN">"c1315"</definedName>
    <definedName name="IQ_TREASURY_OTHER_EQUITY_INS">"c1316"</definedName>
    <definedName name="IQ_TREASURY_OTHER_EQUITY_REIT">"c1317"</definedName>
    <definedName name="IQ_TREASURY_OTHER_EQUITY_UTI">"c1318"</definedName>
    <definedName name="IQ_TREASURY_STOCK">"c1438"</definedName>
    <definedName name="IQ_TRUST_INC">"c1319"</definedName>
    <definedName name="IQ_TRUST_PREF">"c1320"</definedName>
    <definedName name="IQ_TRUST_PREFERRED">"c3029"</definedName>
    <definedName name="IQ_TRUST_PREFERRED_PCT">"c3030"</definedName>
    <definedName name="IQ_UFCF_10YR_ANN_GROWTH">"c1948"</definedName>
    <definedName name="IQ_UFCF_1YR_ANN_GROWTH">"c1943"</definedName>
    <definedName name="IQ_UFCF_2YR_ANN_GROWTH">"c1944"</definedName>
    <definedName name="IQ_UFCF_3YR_ANN_GROWTH">"c1945"</definedName>
    <definedName name="IQ_UFCF_5YR_ANN_GROWTH">"c1946"</definedName>
    <definedName name="IQ_UFCF_7YR_ANN_GROWTH">"c1947"</definedName>
    <definedName name="IQ_UFCF_MARGIN">"c1962"</definedName>
    <definedName name="IQ_ULT_PARENT">"c3037"</definedName>
    <definedName name="IQ_ULT_PARENT_CIQID">"c3039"</definedName>
    <definedName name="IQ_ULT_PARENT_TICKER">"c3038"</definedName>
    <definedName name="IQ_UNAMORT_DISC">"c2513"</definedName>
    <definedName name="IQ_UNAMORT_DISC_PCT">"c2514"</definedName>
    <definedName name="IQ_UNAMORT_PREMIUM">"c2511"</definedName>
    <definedName name="IQ_UNAMORT_PREMIUM_PCT">"c2512"</definedName>
    <definedName name="IQ_UNDRAWN_CP">"c2518"</definedName>
    <definedName name="IQ_UNDRAWN_CREDIT">"c3032"</definedName>
    <definedName name="IQ_UNDRAWN_RC">"c2517"</definedName>
    <definedName name="IQ_UNDRAWN_TL">"c2519"</definedName>
    <definedName name="IQ_UNEARN_PREMIUM">"c1321"</definedName>
    <definedName name="IQ_UNEARN_REV_CURRENT">"c1322"</definedName>
    <definedName name="IQ_UNEARN_REV_CURRENT_BNK">"c1323"</definedName>
    <definedName name="IQ_UNEARN_REV_CURRENT_BR">"c1324"</definedName>
    <definedName name="IQ_UNEARN_REV_CURRENT_FIN">"c1325"</definedName>
    <definedName name="IQ_UNEARN_REV_CURRENT_INS">"c1326"</definedName>
    <definedName name="IQ_UNEARN_REV_CURRENT_REIT">"c1327"</definedName>
    <definedName name="IQ_UNEARN_REV_CURRENT_UTI">"c1328"</definedName>
    <definedName name="IQ_UNEARN_REV_LT">"c1329"</definedName>
    <definedName name="IQ_UNLEVERED_FCF">"c1908"</definedName>
    <definedName name="IQ_UNPAID_CLAIMS">"c1330"</definedName>
    <definedName name="IQ_UNREALIZED_GAIN">"c1619"</definedName>
    <definedName name="IQ_UNSECURED_DEBT">"c2548"</definedName>
    <definedName name="IQ_UNSECURED_DEBT_PCT">"c2549"</definedName>
    <definedName name="IQ_UNUSUAL_EXP">"c1456"</definedName>
    <definedName name="IQ_US_GAAP">"c1331"</definedName>
    <definedName name="IQ_US_GAAP_BASIC_EPS_EXCL">"c2984"</definedName>
    <definedName name="IQ_US_GAAP_BASIC_EPS_INCL">"c2982"</definedName>
    <definedName name="IQ_US_GAAP_BASIC_WEIGHT">"c2980"</definedName>
    <definedName name="IQ_US_GAAP_CA_ADJ">"c2925"</definedName>
    <definedName name="IQ_US_GAAP_CASH_FINAN">"c2945"</definedName>
    <definedName name="IQ_US_GAAP_CASH_FINAN_ADJ">"c2941"</definedName>
    <definedName name="IQ_US_GAAP_CASH_INVEST">"c2944"</definedName>
    <definedName name="IQ_US_GAAP_CASH_INVEST_ADJ">"c2940"</definedName>
    <definedName name="IQ_US_GAAP_CASH_OPER">"c2943"</definedName>
    <definedName name="IQ_US_GAAP_CASH_OPER_ADJ">"c2939"</definedName>
    <definedName name="IQ_US_GAAP_CL_ADJ">"c2927"</definedName>
    <definedName name="IQ_US_GAAP_COST_REV_ADJ">"c2951"</definedName>
    <definedName name="IQ_US_GAAP_DILUT_EPS_EXCL">"c2985"</definedName>
    <definedName name="IQ_US_GAAP_DILUT_EPS_INCL">"c2983"</definedName>
    <definedName name="IQ_US_GAAP_DILUT_NI">"c2979"</definedName>
    <definedName name="IQ_US_GAAP_DILUT_WEIGHT">"c2981"</definedName>
    <definedName name="IQ_US_GAAP_DO_ADJ">"c2959"</definedName>
    <definedName name="IQ_US_GAAP_EXTRA_ACC_ITEMS_ADJ">"c2958"</definedName>
    <definedName name="IQ_US_GAAP_INC_TAX_ADJ">"c2961"</definedName>
    <definedName name="IQ_US_GAAP_INTEREST_EXP_ADJ">"c2957"</definedName>
    <definedName name="IQ_US_GAAP_LIAB_LT_ADJ">"c2928"</definedName>
    <definedName name="IQ_US_GAAP_LIAB_TOTAL_LIAB">"c2933"</definedName>
    <definedName name="IQ_US_GAAP_MINORITY_INTEREST_IS_ADJ">"c2960"</definedName>
    <definedName name="IQ_US_GAAP_NCA_ADJ">"c2926"</definedName>
    <definedName name="IQ_US_GAAP_NET_CHANGE">"c2946"</definedName>
    <definedName name="IQ_US_GAAP_NET_CHANGE_ADJ">"c2942"</definedName>
    <definedName name="IQ_US_GAAP_NI">"c2976"</definedName>
    <definedName name="IQ_US_GAAP_NI_ADJ">"c2963"</definedName>
    <definedName name="IQ_US_GAAP_NI_AVAIL_INCL">"c2978"</definedName>
    <definedName name="IQ_US_GAAP_OTHER_ADJ_ADJ">"c2962"</definedName>
    <definedName name="IQ_US_GAAP_OTHER_NON_OPER_ADJ">"c2955"</definedName>
    <definedName name="IQ_US_GAAP_OTHER_OPER_ADJ">"c2954"</definedName>
    <definedName name="IQ_US_GAAP_RD_ADJ">"c2953"</definedName>
    <definedName name="IQ_US_GAAP_SGA_ADJ">"c2952"</definedName>
    <definedName name="IQ_US_GAAP_TOTAL_ASSETS">"c2931"</definedName>
    <definedName name="IQ_US_GAAP_TOTAL_EQUITY">"c2934"</definedName>
    <definedName name="IQ_US_GAAP_TOTAL_EQUITY_ADJ">"c2929"</definedName>
    <definedName name="IQ_US_GAAP_TOTAL_REV_ADJ">"c2950"</definedName>
    <definedName name="IQ_US_GAAP_TOTAL_UNUSUAL_ADJ">"c2956"</definedName>
    <definedName name="IQ_UTIL_PPE_NET">"c1620"</definedName>
    <definedName name="IQ_UTIL_REV">"c2091"</definedName>
    <definedName name="IQ_UV_PENSION_LIAB">"c1332"</definedName>
    <definedName name="IQ_VALUE_TRADED_LAST_3MTH">"c1530"</definedName>
    <definedName name="IQ_VALUE_TRADED_LAST_6MTH">"c1531"</definedName>
    <definedName name="IQ_VALUE_TRADED_LAST_MTH">"c1529"</definedName>
    <definedName name="IQ_VALUE_TRADED_LAST_WK">"c1528"</definedName>
    <definedName name="IQ_VALUE_TRADED_LAST_YR">"c1532"</definedName>
    <definedName name="IQ_VOL_LAST_3MTH">"c1525"</definedName>
    <definedName name="IQ_VOL_LAST_6MTH">"c1526"</definedName>
    <definedName name="IQ_VOL_LAST_MTH">"c1524"</definedName>
    <definedName name="IQ_VOL_LAST_WK">"c1523"</definedName>
    <definedName name="IQ_VOL_LAST_YR">"c1527"</definedName>
    <definedName name="IQ_VOLUME">"c1333"</definedName>
    <definedName name="IQ_WARRANTS_BEG_OS">"c2698"</definedName>
    <definedName name="IQ_WARRANTS_CANCELLED">"c2701"</definedName>
    <definedName name="IQ_WARRANTS_END_OS">"c2702"</definedName>
    <definedName name="IQ_WARRANTS_EXERCISED">"c2700"</definedName>
    <definedName name="IQ_WARRANTS_ISSUED">"c2699"</definedName>
    <definedName name="IQ_WARRANTS_STRIKE_PRICE_ISSUED">"c2704"</definedName>
    <definedName name="IQ_WARRANTS_STRIKE_PRICE_OS">"c2703"</definedName>
    <definedName name="IQ_WEEK">50000</definedName>
    <definedName name="IQ_WEIGHTED_AVG_PRICE">"c1334"</definedName>
    <definedName name="IQ_WIP_INV">"c1335"</definedName>
    <definedName name="IQ_WORKING_CAP">"c3494"</definedName>
    <definedName name="IQ_WORKMEN_WRITTEN">"c1336"</definedName>
    <definedName name="IQ_XDIV_DATE">"c2203"</definedName>
    <definedName name="IQ_YEARHIGH">"c1337"</definedName>
    <definedName name="IQ_YEARHIGH_DATE">"c2250"</definedName>
    <definedName name="IQ_YEARLOW">"c1338"</definedName>
    <definedName name="IQ_YEARLOW_DATE">"c2251"</definedName>
    <definedName name="IQ_YTD">3000</definedName>
    <definedName name="IQ_YTDMONTH">130000</definedName>
    <definedName name="IQ_YTW">"c2163"</definedName>
    <definedName name="IQ_YTW_DATE">"c2164"</definedName>
    <definedName name="IQ_YTW_DATE_TYPE">"c2165"</definedName>
    <definedName name="IQ_Z_SCORE">"c1339"</definedName>
    <definedName name="ProjectName">{"Client Name or Project Name"}</definedName>
    <definedName name="TextRefCopyRangeCount">1</definedName>
    <definedName name="はい">{"Client Name or Project Name"}</definedName>
    <definedName name="入金シート２">{"Client Name or Project Name"}</definedName>
    <definedName name="敷金異動">{"Client Name or Project Name"}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65" i="18" l="1"/>
  <c r="G7" i="18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G40" i="18" s="1"/>
  <c r="G41" i="18" s="1"/>
  <c r="G42" i="18" s="1"/>
  <c r="G43" i="18" s="1"/>
  <c r="G44" i="18" s="1"/>
  <c r="G45" i="18" s="1"/>
  <c r="G46" i="18" s="1"/>
  <c r="G47" i="18" s="1"/>
  <c r="G48" i="18" s="1"/>
  <c r="G49" i="18" s="1"/>
  <c r="G50" i="18" s="1"/>
  <c r="G51" i="18" s="1"/>
  <c r="G52" i="18" s="1"/>
  <c r="G53" i="18" s="1"/>
  <c r="G54" i="18" s="1"/>
  <c r="G55" i="18" s="1"/>
  <c r="G56" i="18" s="1"/>
  <c r="G57" i="18" s="1"/>
  <c r="G58" i="18" s="1"/>
  <c r="G59" i="18" s="1"/>
  <c r="G60" i="18" s="1"/>
  <c r="G61" i="18" s="1"/>
  <c r="G62" i="18" s="1"/>
  <c r="G63" i="18" s="1"/>
  <c r="G64" i="18" s="1"/>
  <c r="G65" i="18" s="1"/>
  <c r="G66" i="18" s="1"/>
  <c r="G67" i="18" s="1"/>
  <c r="G68" i="18" s="1"/>
  <c r="G69" i="18" s="1"/>
  <c r="G70" i="18" s="1"/>
  <c r="G71" i="18" s="1"/>
  <c r="G72" i="18" s="1"/>
  <c r="G73" i="18" s="1"/>
  <c r="G74" i="18" s="1"/>
  <c r="G75" i="18" s="1"/>
  <c r="G76" i="18" s="1"/>
  <c r="G77" i="18" s="1"/>
  <c r="G78" i="18" s="1"/>
  <c r="G79" i="18" s="1"/>
  <c r="G80" i="18" s="1"/>
  <c r="G81" i="18" s="1"/>
  <c r="G82" i="18" s="1"/>
  <c r="G83" i="18" s="1"/>
  <c r="G84" i="18" s="1"/>
  <c r="G85" i="18" s="1"/>
  <c r="G86" i="18" s="1"/>
  <c r="G87" i="18" s="1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G109" i="18" s="1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G133" i="18" s="1"/>
  <c r="G134" i="18" s="1"/>
  <c r="G135" i="18" s="1"/>
  <c r="G136" i="18" s="1"/>
  <c r="G137" i="18" s="1"/>
  <c r="G138" i="18" s="1"/>
  <c r="G139" i="18" s="1"/>
  <c r="G140" i="18" s="1"/>
  <c r="G141" i="18" s="1"/>
  <c r="G142" i="18" s="1"/>
  <c r="G143" i="18" s="1"/>
  <c r="G144" i="18" s="1"/>
  <c r="G145" i="18" s="1"/>
  <c r="G146" i="18" s="1"/>
  <c r="G147" i="18" s="1"/>
  <c r="G148" i="18" s="1"/>
  <c r="G149" i="18" s="1"/>
  <c r="G150" i="18" s="1"/>
  <c r="G151" i="18" s="1"/>
  <c r="G152" i="18" s="1"/>
  <c r="G153" i="18" s="1"/>
  <c r="G154" i="18" s="1"/>
  <c r="G155" i="18" s="1"/>
  <c r="G156" i="18" s="1"/>
  <c r="G157" i="18" s="1"/>
  <c r="G158" i="18" s="1"/>
  <c r="G159" i="18" s="1"/>
  <c r="G160" i="18" s="1"/>
  <c r="G161" i="18" s="1"/>
  <c r="G162" i="18" s="1"/>
  <c r="G163" i="18" s="1"/>
  <c r="G164" i="18" s="1"/>
  <c r="G165" i="18" s="1"/>
  <c r="G166" i="18" s="1"/>
  <c r="G167" i="18" s="1"/>
  <c r="G168" i="18" s="1"/>
  <c r="G169" i="18" s="1"/>
  <c r="G170" i="18" s="1"/>
  <c r="G171" i="18" s="1"/>
  <c r="G172" i="18" s="1"/>
  <c r="G173" i="18" s="1"/>
  <c r="G174" i="18" s="1"/>
  <c r="G175" i="18" s="1"/>
  <c r="G176" i="18" s="1"/>
  <c r="G177" i="18" s="1"/>
  <c r="G178" i="18" s="1"/>
  <c r="G179" i="18" s="1"/>
  <c r="G180" i="18" s="1"/>
  <c r="G181" i="18" s="1"/>
  <c r="G182" i="18" s="1"/>
  <c r="G183" i="18" s="1"/>
  <c r="G184" i="18" s="1"/>
  <c r="G185" i="18" s="1"/>
  <c r="G186" i="18" s="1"/>
  <c r="G187" i="18" s="1"/>
  <c r="G188" i="18" s="1"/>
  <c r="G189" i="18" s="1"/>
  <c r="G190" i="18" s="1"/>
  <c r="G191" i="18" s="1"/>
  <c r="G192" i="18" s="1"/>
  <c r="G193" i="18" s="1"/>
  <c r="G194" i="18" s="1"/>
  <c r="G195" i="18" s="1"/>
  <c r="G196" i="18" s="1"/>
  <c r="G197" i="18" s="1"/>
  <c r="G198" i="18" s="1"/>
  <c r="G199" i="18" s="1"/>
  <c r="G200" i="18" s="1"/>
  <c r="G201" i="18" s="1"/>
  <c r="G202" i="18" s="1"/>
  <c r="G203" i="18" s="1"/>
  <c r="G204" i="18" s="1"/>
  <c r="G205" i="18" s="1"/>
  <c r="G206" i="18" s="1"/>
  <c r="G207" i="18" s="1"/>
  <c r="G208" i="18" s="1"/>
  <c r="G209" i="18" s="1"/>
  <c r="G210" i="18" s="1"/>
  <c r="G211" i="18" s="1"/>
  <c r="G212" i="18" s="1"/>
  <c r="G213" i="18" s="1"/>
  <c r="G214" i="18" s="1"/>
  <c r="G215" i="18" s="1"/>
  <c r="G216" i="18" s="1"/>
  <c r="G217" i="18" s="1"/>
  <c r="G218" i="18" s="1"/>
  <c r="G219" i="18" s="1"/>
  <c r="G220" i="18" s="1"/>
  <c r="G221" i="18" s="1"/>
  <c r="G222" i="18" s="1"/>
  <c r="G223" i="18" s="1"/>
  <c r="G224" i="18" s="1"/>
  <c r="G225" i="18" s="1"/>
  <c r="G226" i="18" s="1"/>
  <c r="G227" i="18" s="1"/>
  <c r="G228" i="18" s="1"/>
  <c r="G229" i="18" s="1"/>
  <c r="G230" i="18" s="1"/>
  <c r="G231" i="18" s="1"/>
  <c r="G232" i="18" s="1"/>
  <c r="G233" i="18" s="1"/>
  <c r="G234" i="18" s="1"/>
  <c r="G235" i="18" s="1"/>
  <c r="G236" i="18" s="1"/>
  <c r="G237" i="18" s="1"/>
  <c r="G238" i="18" s="1"/>
  <c r="G239" i="18" s="1"/>
  <c r="G240" i="18" s="1"/>
  <c r="G241" i="18" s="1"/>
  <c r="G242" i="18" s="1"/>
  <c r="G243" i="18" s="1"/>
  <c r="G244" i="18" s="1"/>
  <c r="G245" i="18" s="1"/>
  <c r="G246" i="18" s="1"/>
  <c r="G247" i="18" s="1"/>
  <c r="G248" i="18" s="1"/>
  <c r="G249" i="18" s="1"/>
  <c r="G250" i="18" s="1"/>
  <c r="G251" i="18" s="1"/>
  <c r="G252" i="18" s="1"/>
  <c r="G253" i="18" s="1"/>
  <c r="G254" i="18" s="1"/>
  <c r="G255" i="18" s="1"/>
  <c r="G256" i="18" s="1"/>
  <c r="G257" i="18" s="1"/>
  <c r="G258" i="18" s="1"/>
  <c r="G259" i="18" s="1"/>
  <c r="G260" i="18" s="1"/>
  <c r="G261" i="18" s="1"/>
  <c r="G262" i="18" s="1"/>
  <c r="G263" i="18" s="1"/>
  <c r="G264" i="18" s="1"/>
  <c r="G265" i="18" s="1"/>
  <c r="G266" i="18" s="1"/>
  <c r="G267" i="18" s="1"/>
  <c r="G268" i="18" s="1"/>
  <c r="G269" i="18" s="1"/>
  <c r="G270" i="18" s="1"/>
  <c r="G271" i="18" s="1"/>
  <c r="G272" i="18" s="1"/>
  <c r="G273" i="18" s="1"/>
  <c r="G274" i="18" s="1"/>
  <c r="G275" i="18" s="1"/>
  <c r="G276" i="18" s="1"/>
  <c r="G277" i="18" s="1"/>
  <c r="G278" i="18" s="1"/>
  <c r="G279" i="18" s="1"/>
  <c r="G280" i="18" s="1"/>
  <c r="G281" i="18" s="1"/>
  <c r="G282" i="18" s="1"/>
  <c r="G283" i="18" s="1"/>
  <c r="G284" i="18" s="1"/>
  <c r="G285" i="18" s="1"/>
  <c r="G286" i="18" s="1"/>
  <c r="G287" i="18" s="1"/>
  <c r="G288" i="18" s="1"/>
  <c r="G289" i="18" s="1"/>
  <c r="G290" i="18" s="1"/>
  <c r="G291" i="18" s="1"/>
  <c r="G292" i="18" s="1"/>
  <c r="G293" i="18" s="1"/>
  <c r="G294" i="18" s="1"/>
  <c r="G295" i="18" s="1"/>
  <c r="G296" i="18" s="1"/>
  <c r="G297" i="18" s="1"/>
  <c r="G298" i="18" s="1"/>
  <c r="G299" i="18" s="1"/>
  <c r="G300" i="18" s="1"/>
  <c r="G301" i="18" s="1"/>
  <c r="G302" i="18" s="1"/>
  <c r="G303" i="18" s="1"/>
  <c r="G304" i="18" s="1"/>
  <c r="G305" i="18" s="1"/>
  <c r="G306" i="18" s="1"/>
  <c r="G307" i="18" s="1"/>
  <c r="G308" i="18" s="1"/>
  <c r="G309" i="18" s="1"/>
  <c r="G310" i="18" s="1"/>
  <c r="G311" i="18" s="1"/>
  <c r="G312" i="18" s="1"/>
  <c r="G313" i="18" s="1"/>
  <c r="G314" i="18" s="1"/>
  <c r="G315" i="18" s="1"/>
  <c r="G316" i="18" s="1"/>
  <c r="G317" i="18" s="1"/>
  <c r="G318" i="18" s="1"/>
  <c r="G319" i="18" s="1"/>
  <c r="G320" i="18" s="1"/>
  <c r="G321" i="18" s="1"/>
  <c r="G322" i="18" s="1"/>
  <c r="G323" i="18" s="1"/>
  <c r="G324" i="18" s="1"/>
  <c r="G325" i="18" s="1"/>
  <c r="G326" i="18" s="1"/>
  <c r="G327" i="18" s="1"/>
  <c r="G328" i="18" s="1"/>
  <c r="G329" i="18" s="1"/>
  <c r="G330" i="18" s="1"/>
  <c r="G331" i="18" s="1"/>
  <c r="G332" i="18" s="1"/>
  <c r="G333" i="18" s="1"/>
  <c r="G334" i="18" s="1"/>
  <c r="G335" i="18" s="1"/>
  <c r="G336" i="18" s="1"/>
  <c r="G337" i="18" s="1"/>
  <c r="G338" i="18" s="1"/>
  <c r="G339" i="18" s="1"/>
  <c r="G340" i="18" s="1"/>
  <c r="G341" i="18" s="1"/>
  <c r="G342" i="18" s="1"/>
  <c r="G343" i="18" s="1"/>
  <c r="G344" i="18" s="1"/>
  <c r="G345" i="18" s="1"/>
  <c r="G346" i="18" s="1"/>
  <c r="G347" i="18" s="1"/>
  <c r="G348" i="18" s="1"/>
  <c r="G349" i="18" s="1"/>
  <c r="G350" i="18" s="1"/>
  <c r="G351" i="18" s="1"/>
  <c r="G352" i="18" s="1"/>
  <c r="G353" i="18" s="1"/>
  <c r="G354" i="18" s="1"/>
  <c r="G355" i="18" s="1"/>
  <c r="G356" i="18" s="1"/>
  <c r="G357" i="18" s="1"/>
  <c r="G358" i="18" s="1"/>
  <c r="G359" i="18" s="1"/>
  <c r="G360" i="18" s="1"/>
  <c r="G361" i="18" s="1"/>
  <c r="G362" i="18" s="1"/>
  <c r="G363" i="18" s="1"/>
  <c r="G6" i="18"/>
  <c r="G5" i="18"/>
  <c r="G4" i="18"/>
  <c r="D366" i="18"/>
  <c r="M25" i="18"/>
  <c r="M56" i="18"/>
  <c r="M142" i="18"/>
  <c r="L4" i="18"/>
  <c r="M4" i="18" s="1"/>
  <c r="L6" i="18"/>
  <c r="M6" i="18" s="1"/>
  <c r="L7" i="18"/>
  <c r="M7" i="18" s="1"/>
  <c r="L8" i="18"/>
  <c r="M8" i="18" s="1"/>
  <c r="L9" i="18"/>
  <c r="M9" i="18" s="1"/>
  <c r="L10" i="18"/>
  <c r="M10" i="18" s="1"/>
  <c r="L11" i="18"/>
  <c r="M11" i="18" s="1"/>
  <c r="L12" i="18"/>
  <c r="M12" i="18" s="1"/>
  <c r="L13" i="18"/>
  <c r="M13" i="18" s="1"/>
  <c r="L14" i="18"/>
  <c r="M14" i="18" s="1"/>
  <c r="L15" i="18"/>
  <c r="M15" i="18" s="1"/>
  <c r="L16" i="18"/>
  <c r="M16" i="18" s="1"/>
  <c r="L17" i="18"/>
  <c r="M17" i="18" s="1"/>
  <c r="L18" i="18"/>
  <c r="M18" i="18" s="1"/>
  <c r="L19" i="18"/>
  <c r="M19" i="18" s="1"/>
  <c r="L20" i="18"/>
  <c r="M20" i="18" s="1"/>
  <c r="L21" i="18"/>
  <c r="M21" i="18" s="1"/>
  <c r="L22" i="18"/>
  <c r="M22" i="18" s="1"/>
  <c r="L23" i="18"/>
  <c r="M23" i="18" s="1"/>
  <c r="L24" i="18"/>
  <c r="M24" i="18" s="1"/>
  <c r="L25" i="18"/>
  <c r="L26" i="18"/>
  <c r="M26" i="18" s="1"/>
  <c r="L27" i="18"/>
  <c r="M27" i="18" s="1"/>
  <c r="L28" i="18"/>
  <c r="M28" i="18" s="1"/>
  <c r="L29" i="18"/>
  <c r="M29" i="18" s="1"/>
  <c r="L30" i="18"/>
  <c r="M30" i="18" s="1"/>
  <c r="L31" i="18"/>
  <c r="M31" i="18" s="1"/>
  <c r="L32" i="18"/>
  <c r="M32" i="18" s="1"/>
  <c r="L33" i="18"/>
  <c r="M33" i="18" s="1"/>
  <c r="L34" i="18"/>
  <c r="M34" i="18" s="1"/>
  <c r="L35" i="18"/>
  <c r="M35" i="18" s="1"/>
  <c r="L36" i="18"/>
  <c r="M36" i="18" s="1"/>
  <c r="L37" i="18"/>
  <c r="M37" i="18" s="1"/>
  <c r="L38" i="18"/>
  <c r="M38" i="18" s="1"/>
  <c r="L39" i="18"/>
  <c r="M39" i="18" s="1"/>
  <c r="L40" i="18"/>
  <c r="M40" i="18" s="1"/>
  <c r="L41" i="18"/>
  <c r="M41" i="18" s="1"/>
  <c r="L42" i="18"/>
  <c r="M42" i="18" s="1"/>
  <c r="L43" i="18"/>
  <c r="M43" i="18" s="1"/>
  <c r="L44" i="18"/>
  <c r="M44" i="18" s="1"/>
  <c r="L45" i="18"/>
  <c r="M45" i="18" s="1"/>
  <c r="L46" i="18"/>
  <c r="M46" i="18" s="1"/>
  <c r="L47" i="18"/>
  <c r="M47" i="18" s="1"/>
  <c r="L48" i="18"/>
  <c r="M48" i="18" s="1"/>
  <c r="L49" i="18"/>
  <c r="M49" i="18" s="1"/>
  <c r="L50" i="18"/>
  <c r="M50" i="18" s="1"/>
  <c r="L51" i="18"/>
  <c r="M51" i="18" s="1"/>
  <c r="L52" i="18"/>
  <c r="M52" i="18" s="1"/>
  <c r="L53" i="18"/>
  <c r="M53" i="18" s="1"/>
  <c r="L54" i="18"/>
  <c r="M54" i="18" s="1"/>
  <c r="L55" i="18"/>
  <c r="M55" i="18" s="1"/>
  <c r="L56" i="18"/>
  <c r="L57" i="18"/>
  <c r="M57" i="18" s="1"/>
  <c r="L58" i="18"/>
  <c r="M58" i="18" s="1"/>
  <c r="L59" i="18"/>
  <c r="M59" i="18" s="1"/>
  <c r="L60" i="18"/>
  <c r="M60" i="18" s="1"/>
  <c r="L61" i="18"/>
  <c r="M61" i="18" s="1"/>
  <c r="L62" i="18"/>
  <c r="M62" i="18" s="1"/>
  <c r="L63" i="18"/>
  <c r="M63" i="18" s="1"/>
  <c r="L64" i="18"/>
  <c r="M64" i="18" s="1"/>
  <c r="L65" i="18"/>
  <c r="M65" i="18" s="1"/>
  <c r="L66" i="18"/>
  <c r="M66" i="18" s="1"/>
  <c r="L67" i="18"/>
  <c r="M67" i="18" s="1"/>
  <c r="L68" i="18"/>
  <c r="M68" i="18" s="1"/>
  <c r="L69" i="18"/>
  <c r="M69" i="18" s="1"/>
  <c r="L70" i="18"/>
  <c r="M70" i="18" s="1"/>
  <c r="L71" i="18"/>
  <c r="M71" i="18" s="1"/>
  <c r="L72" i="18"/>
  <c r="M72" i="18" s="1"/>
  <c r="L73" i="18"/>
  <c r="M73" i="18" s="1"/>
  <c r="L74" i="18"/>
  <c r="M74" i="18" s="1"/>
  <c r="L75" i="18"/>
  <c r="M75" i="18" s="1"/>
  <c r="L76" i="18"/>
  <c r="M76" i="18" s="1"/>
  <c r="L77" i="18"/>
  <c r="M77" i="18" s="1"/>
  <c r="L78" i="18"/>
  <c r="M78" i="18" s="1"/>
  <c r="L79" i="18"/>
  <c r="M79" i="18" s="1"/>
  <c r="L80" i="18"/>
  <c r="M80" i="18" s="1"/>
  <c r="L81" i="18"/>
  <c r="M81" i="18" s="1"/>
  <c r="L82" i="18"/>
  <c r="M82" i="18" s="1"/>
  <c r="L83" i="18"/>
  <c r="M83" i="18" s="1"/>
  <c r="L84" i="18"/>
  <c r="M84" i="18" s="1"/>
  <c r="L85" i="18"/>
  <c r="M85" i="18" s="1"/>
  <c r="L86" i="18"/>
  <c r="M86" i="18" s="1"/>
  <c r="L87" i="18"/>
  <c r="M87" i="18" s="1"/>
  <c r="L88" i="18"/>
  <c r="M88" i="18" s="1"/>
  <c r="L89" i="18"/>
  <c r="M89" i="18" s="1"/>
  <c r="L90" i="18"/>
  <c r="M90" i="18" s="1"/>
  <c r="L91" i="18"/>
  <c r="M91" i="18" s="1"/>
  <c r="L92" i="18"/>
  <c r="M92" i="18" s="1"/>
  <c r="L93" i="18"/>
  <c r="M93" i="18" s="1"/>
  <c r="L94" i="18"/>
  <c r="M94" i="18" s="1"/>
  <c r="L95" i="18"/>
  <c r="M95" i="18" s="1"/>
  <c r="L96" i="18"/>
  <c r="M96" i="18" s="1"/>
  <c r="L97" i="18"/>
  <c r="M97" i="18" s="1"/>
  <c r="L98" i="18"/>
  <c r="M98" i="18" s="1"/>
  <c r="L99" i="18"/>
  <c r="M99" i="18" s="1"/>
  <c r="L100" i="18"/>
  <c r="M100" i="18" s="1"/>
  <c r="L101" i="18"/>
  <c r="M101" i="18" s="1"/>
  <c r="L102" i="18"/>
  <c r="M102" i="18" s="1"/>
  <c r="L103" i="18"/>
  <c r="M103" i="18" s="1"/>
  <c r="L104" i="18"/>
  <c r="M104" i="18" s="1"/>
  <c r="L105" i="18"/>
  <c r="M105" i="18" s="1"/>
  <c r="L106" i="18"/>
  <c r="M106" i="18" s="1"/>
  <c r="L107" i="18"/>
  <c r="M107" i="18" s="1"/>
  <c r="L108" i="18"/>
  <c r="M108" i="18" s="1"/>
  <c r="L109" i="18"/>
  <c r="M109" i="18" s="1"/>
  <c r="L110" i="18"/>
  <c r="M110" i="18" s="1"/>
  <c r="L111" i="18"/>
  <c r="M111" i="18" s="1"/>
  <c r="L112" i="18"/>
  <c r="M112" i="18" s="1"/>
  <c r="L113" i="18"/>
  <c r="M113" i="18" s="1"/>
  <c r="L114" i="18"/>
  <c r="M114" i="18" s="1"/>
  <c r="L115" i="18"/>
  <c r="M115" i="18" s="1"/>
  <c r="L116" i="18"/>
  <c r="M116" i="18" s="1"/>
  <c r="L117" i="18"/>
  <c r="M117" i="18" s="1"/>
  <c r="L118" i="18"/>
  <c r="M118" i="18" s="1"/>
  <c r="L119" i="18"/>
  <c r="M119" i="18" s="1"/>
  <c r="L120" i="18"/>
  <c r="M120" i="18" s="1"/>
  <c r="L121" i="18"/>
  <c r="M121" i="18" s="1"/>
  <c r="L122" i="18"/>
  <c r="M122" i="18" s="1"/>
  <c r="L123" i="18"/>
  <c r="M123" i="18" s="1"/>
  <c r="L124" i="18"/>
  <c r="M124" i="18" s="1"/>
  <c r="L125" i="18"/>
  <c r="M125" i="18" s="1"/>
  <c r="L126" i="18"/>
  <c r="M126" i="18" s="1"/>
  <c r="L127" i="18"/>
  <c r="M127" i="18" s="1"/>
  <c r="L128" i="18"/>
  <c r="M128" i="18" s="1"/>
  <c r="L129" i="18"/>
  <c r="M129" i="18" s="1"/>
  <c r="L130" i="18"/>
  <c r="M130" i="18" s="1"/>
  <c r="L131" i="18"/>
  <c r="M131" i="18" s="1"/>
  <c r="L132" i="18"/>
  <c r="M132" i="18" s="1"/>
  <c r="L133" i="18"/>
  <c r="M133" i="18" s="1"/>
  <c r="L134" i="18"/>
  <c r="M134" i="18" s="1"/>
  <c r="L135" i="18"/>
  <c r="M135" i="18" s="1"/>
  <c r="L136" i="18"/>
  <c r="M136" i="18" s="1"/>
  <c r="L137" i="18"/>
  <c r="M137" i="18" s="1"/>
  <c r="L138" i="18"/>
  <c r="M138" i="18" s="1"/>
  <c r="L139" i="18"/>
  <c r="M139" i="18" s="1"/>
  <c r="L140" i="18"/>
  <c r="M140" i="18" s="1"/>
  <c r="L141" i="18"/>
  <c r="M141" i="18" s="1"/>
  <c r="L142" i="18"/>
  <c r="L143" i="18"/>
  <c r="M143" i="18" s="1"/>
  <c r="L144" i="18"/>
  <c r="M144" i="18" s="1"/>
  <c r="L145" i="18"/>
  <c r="M145" i="18" s="1"/>
  <c r="L146" i="18"/>
  <c r="M146" i="18" s="1"/>
  <c r="L147" i="18"/>
  <c r="M147" i="18" s="1"/>
  <c r="L148" i="18"/>
  <c r="M148" i="18" s="1"/>
  <c r="L149" i="18"/>
  <c r="M149" i="18" s="1"/>
  <c r="L150" i="18"/>
  <c r="M150" i="18" s="1"/>
  <c r="L151" i="18"/>
  <c r="M151" i="18" s="1"/>
  <c r="L152" i="18"/>
  <c r="M152" i="18" s="1"/>
  <c r="L153" i="18"/>
  <c r="M153" i="18" s="1"/>
  <c r="L154" i="18"/>
  <c r="M154" i="18" s="1"/>
  <c r="L155" i="18"/>
  <c r="M155" i="18" s="1"/>
  <c r="L156" i="18"/>
  <c r="M156" i="18" s="1"/>
  <c r="L157" i="18"/>
  <c r="M157" i="18" s="1"/>
  <c r="L158" i="18"/>
  <c r="M158" i="18" s="1"/>
  <c r="L159" i="18"/>
  <c r="M159" i="18" s="1"/>
  <c r="L160" i="18"/>
  <c r="M160" i="18" s="1"/>
  <c r="L161" i="18"/>
  <c r="M161" i="18" s="1"/>
  <c r="L162" i="18"/>
  <c r="M162" i="18" s="1"/>
  <c r="L163" i="18"/>
  <c r="M163" i="18" s="1"/>
  <c r="L164" i="18"/>
  <c r="M164" i="18" s="1"/>
  <c r="L165" i="18"/>
  <c r="M165" i="18" s="1"/>
  <c r="L166" i="18"/>
  <c r="M166" i="18" s="1"/>
  <c r="L167" i="18"/>
  <c r="M167" i="18" s="1"/>
  <c r="L168" i="18"/>
  <c r="M168" i="18" s="1"/>
  <c r="L169" i="18"/>
  <c r="M169" i="18" s="1"/>
  <c r="L170" i="18"/>
  <c r="M170" i="18" s="1"/>
  <c r="L171" i="18"/>
  <c r="M171" i="18" s="1"/>
  <c r="L172" i="18"/>
  <c r="M172" i="18" s="1"/>
  <c r="L173" i="18"/>
  <c r="M173" i="18" s="1"/>
  <c r="L174" i="18"/>
  <c r="M174" i="18" s="1"/>
  <c r="L175" i="18"/>
  <c r="M175" i="18" s="1"/>
  <c r="L176" i="18"/>
  <c r="M176" i="18" s="1"/>
  <c r="L177" i="18"/>
  <c r="M177" i="18" s="1"/>
  <c r="L178" i="18"/>
  <c r="M178" i="18" s="1"/>
  <c r="L179" i="18"/>
  <c r="M179" i="18" s="1"/>
  <c r="L180" i="18"/>
  <c r="M180" i="18" s="1"/>
  <c r="L181" i="18"/>
  <c r="M181" i="18" s="1"/>
  <c r="L182" i="18"/>
  <c r="M182" i="18" s="1"/>
  <c r="L183" i="18"/>
  <c r="M183" i="18" s="1"/>
  <c r="L184" i="18"/>
  <c r="M184" i="18" s="1"/>
  <c r="L185" i="18"/>
  <c r="M185" i="18" s="1"/>
  <c r="L186" i="18"/>
  <c r="M186" i="18" s="1"/>
  <c r="L187" i="18"/>
  <c r="M187" i="18" s="1"/>
  <c r="L188" i="18"/>
  <c r="M188" i="18" s="1"/>
  <c r="L189" i="18"/>
  <c r="M189" i="18" s="1"/>
  <c r="L190" i="18"/>
  <c r="M190" i="18" s="1"/>
  <c r="L191" i="18"/>
  <c r="M191" i="18" s="1"/>
  <c r="L192" i="18"/>
  <c r="M192" i="18" s="1"/>
  <c r="L193" i="18"/>
  <c r="M193" i="18" s="1"/>
  <c r="L194" i="18"/>
  <c r="M194" i="18" s="1"/>
  <c r="L195" i="18"/>
  <c r="M195" i="18" s="1"/>
  <c r="L196" i="18"/>
  <c r="M196" i="18" s="1"/>
  <c r="L197" i="18"/>
  <c r="M197" i="18" s="1"/>
  <c r="L198" i="18"/>
  <c r="M198" i="18" s="1"/>
  <c r="L199" i="18"/>
  <c r="M199" i="18" s="1"/>
  <c r="L200" i="18"/>
  <c r="M200" i="18" s="1"/>
  <c r="L201" i="18"/>
  <c r="M201" i="18" s="1"/>
  <c r="L202" i="18"/>
  <c r="M202" i="18" s="1"/>
  <c r="L203" i="18"/>
  <c r="M203" i="18" s="1"/>
  <c r="L204" i="18"/>
  <c r="M204" i="18" s="1"/>
  <c r="L205" i="18"/>
  <c r="M205" i="18" s="1"/>
  <c r="L206" i="18"/>
  <c r="M206" i="18" s="1"/>
  <c r="L207" i="18"/>
  <c r="M207" i="18" s="1"/>
  <c r="L208" i="18"/>
  <c r="M208" i="18" s="1"/>
  <c r="L209" i="18"/>
  <c r="M209" i="18" s="1"/>
  <c r="L210" i="18"/>
  <c r="M210" i="18" s="1"/>
  <c r="L211" i="18"/>
  <c r="M211" i="18" s="1"/>
  <c r="L212" i="18"/>
  <c r="M212" i="18" s="1"/>
  <c r="L213" i="18"/>
  <c r="M213" i="18" s="1"/>
  <c r="L214" i="18"/>
  <c r="M214" i="18" s="1"/>
  <c r="L215" i="18"/>
  <c r="M215" i="18" s="1"/>
  <c r="L216" i="18"/>
  <c r="M216" i="18" s="1"/>
  <c r="L217" i="18"/>
  <c r="M217" i="18" s="1"/>
  <c r="L218" i="18"/>
  <c r="M218" i="18" s="1"/>
  <c r="L219" i="18"/>
  <c r="M219" i="18" s="1"/>
  <c r="L220" i="18"/>
  <c r="M220" i="18" s="1"/>
  <c r="L221" i="18"/>
  <c r="M221" i="18" s="1"/>
  <c r="L222" i="18"/>
  <c r="M222" i="18" s="1"/>
  <c r="L223" i="18"/>
  <c r="M223" i="18" s="1"/>
  <c r="L224" i="18"/>
  <c r="M224" i="18" s="1"/>
  <c r="L225" i="18"/>
  <c r="M225" i="18" s="1"/>
  <c r="L226" i="18"/>
  <c r="M226" i="18" s="1"/>
  <c r="L227" i="18"/>
  <c r="M227" i="18" s="1"/>
  <c r="L228" i="18"/>
  <c r="M228" i="18" s="1"/>
  <c r="L229" i="18"/>
  <c r="M229" i="18" s="1"/>
  <c r="L230" i="18"/>
  <c r="M230" i="18" s="1"/>
  <c r="L231" i="18"/>
  <c r="M231" i="18" s="1"/>
  <c r="L232" i="18"/>
  <c r="M232" i="18" s="1"/>
  <c r="L233" i="18"/>
  <c r="M233" i="18" s="1"/>
  <c r="L234" i="18"/>
  <c r="M234" i="18" s="1"/>
  <c r="L235" i="18"/>
  <c r="M235" i="18" s="1"/>
  <c r="L236" i="18"/>
  <c r="M236" i="18" s="1"/>
  <c r="L237" i="18"/>
  <c r="M237" i="18" s="1"/>
  <c r="L238" i="18"/>
  <c r="M238" i="18" s="1"/>
  <c r="L239" i="18"/>
  <c r="M239" i="18" s="1"/>
  <c r="L240" i="18"/>
  <c r="M240" i="18" s="1"/>
  <c r="L241" i="18"/>
  <c r="M241" i="18" s="1"/>
  <c r="L242" i="18"/>
  <c r="M242" i="18" s="1"/>
  <c r="L243" i="18"/>
  <c r="M243" i="18" s="1"/>
  <c r="L244" i="18"/>
  <c r="M244" i="18" s="1"/>
  <c r="L245" i="18"/>
  <c r="M245" i="18" s="1"/>
  <c r="L246" i="18"/>
  <c r="M246" i="18" s="1"/>
  <c r="L247" i="18"/>
  <c r="M247" i="18" s="1"/>
  <c r="L248" i="18"/>
  <c r="M248" i="18" s="1"/>
  <c r="L249" i="18"/>
  <c r="M249" i="18" s="1"/>
  <c r="L250" i="18"/>
  <c r="M250" i="18" s="1"/>
  <c r="L251" i="18"/>
  <c r="M251" i="18" s="1"/>
  <c r="L252" i="18"/>
  <c r="M252" i="18" s="1"/>
  <c r="L253" i="18"/>
  <c r="M253" i="18" s="1"/>
  <c r="L254" i="18"/>
  <c r="M254" i="18" s="1"/>
  <c r="L255" i="18"/>
  <c r="M255" i="18" s="1"/>
  <c r="L256" i="18"/>
  <c r="M256" i="18" s="1"/>
  <c r="L257" i="18"/>
  <c r="M257" i="18" s="1"/>
  <c r="L258" i="18"/>
  <c r="M258" i="18" s="1"/>
  <c r="L259" i="18"/>
  <c r="M259" i="18" s="1"/>
  <c r="L260" i="18"/>
  <c r="M260" i="18" s="1"/>
  <c r="L261" i="18"/>
  <c r="M261" i="18" s="1"/>
  <c r="L262" i="18"/>
  <c r="M262" i="18" s="1"/>
  <c r="L263" i="18"/>
  <c r="M263" i="18" s="1"/>
  <c r="L264" i="18"/>
  <c r="M264" i="18" s="1"/>
  <c r="L265" i="18"/>
  <c r="M265" i="18" s="1"/>
  <c r="L266" i="18"/>
  <c r="M266" i="18" s="1"/>
  <c r="L267" i="18"/>
  <c r="M267" i="18" s="1"/>
  <c r="L268" i="18"/>
  <c r="M268" i="18" s="1"/>
  <c r="L269" i="18"/>
  <c r="M269" i="18" s="1"/>
  <c r="L270" i="18"/>
  <c r="M270" i="18" s="1"/>
  <c r="L271" i="18"/>
  <c r="M271" i="18" s="1"/>
  <c r="L272" i="18"/>
  <c r="M272" i="18" s="1"/>
  <c r="L273" i="18"/>
  <c r="M273" i="18" s="1"/>
  <c r="L274" i="18"/>
  <c r="M274" i="18" s="1"/>
  <c r="L275" i="18"/>
  <c r="M275" i="18" s="1"/>
  <c r="L276" i="18"/>
  <c r="M276" i="18" s="1"/>
  <c r="L277" i="18"/>
  <c r="M277" i="18" s="1"/>
  <c r="L278" i="18"/>
  <c r="M278" i="18" s="1"/>
  <c r="L279" i="18"/>
  <c r="M279" i="18" s="1"/>
  <c r="L280" i="18"/>
  <c r="M280" i="18" s="1"/>
  <c r="L281" i="18"/>
  <c r="M281" i="18" s="1"/>
  <c r="L282" i="18"/>
  <c r="M282" i="18" s="1"/>
  <c r="L283" i="18"/>
  <c r="M283" i="18" s="1"/>
  <c r="L284" i="18"/>
  <c r="M284" i="18" s="1"/>
  <c r="L285" i="18"/>
  <c r="M285" i="18" s="1"/>
  <c r="L286" i="18"/>
  <c r="M286" i="18" s="1"/>
  <c r="L287" i="18"/>
  <c r="M287" i="18" s="1"/>
  <c r="L288" i="18"/>
  <c r="M288" i="18" s="1"/>
  <c r="L289" i="18"/>
  <c r="M289" i="18" s="1"/>
  <c r="L290" i="18"/>
  <c r="M290" i="18" s="1"/>
  <c r="L291" i="18"/>
  <c r="M291" i="18" s="1"/>
  <c r="L292" i="18"/>
  <c r="M292" i="18" s="1"/>
  <c r="L293" i="18"/>
  <c r="M293" i="18" s="1"/>
  <c r="L294" i="18"/>
  <c r="M294" i="18" s="1"/>
  <c r="L295" i="18"/>
  <c r="M295" i="18" s="1"/>
  <c r="L296" i="18"/>
  <c r="M296" i="18" s="1"/>
  <c r="L297" i="18"/>
  <c r="M297" i="18" s="1"/>
  <c r="L298" i="18"/>
  <c r="M298" i="18" s="1"/>
  <c r="L299" i="18"/>
  <c r="M299" i="18" s="1"/>
  <c r="L300" i="18"/>
  <c r="M300" i="18" s="1"/>
  <c r="L301" i="18"/>
  <c r="M301" i="18" s="1"/>
  <c r="L302" i="18"/>
  <c r="M302" i="18" s="1"/>
  <c r="L303" i="18"/>
  <c r="M303" i="18" s="1"/>
  <c r="L304" i="18"/>
  <c r="M304" i="18" s="1"/>
  <c r="L305" i="18"/>
  <c r="M305" i="18" s="1"/>
  <c r="L306" i="18"/>
  <c r="M306" i="18" s="1"/>
  <c r="L307" i="18"/>
  <c r="M307" i="18" s="1"/>
  <c r="L308" i="18"/>
  <c r="M308" i="18" s="1"/>
  <c r="L309" i="18"/>
  <c r="M309" i="18" s="1"/>
  <c r="L310" i="18"/>
  <c r="M310" i="18" s="1"/>
  <c r="L311" i="18"/>
  <c r="M311" i="18" s="1"/>
  <c r="L312" i="18"/>
  <c r="M312" i="18" s="1"/>
  <c r="L313" i="18"/>
  <c r="M313" i="18" s="1"/>
  <c r="L314" i="18"/>
  <c r="M314" i="18" s="1"/>
  <c r="L315" i="18"/>
  <c r="M315" i="18" s="1"/>
  <c r="L316" i="18"/>
  <c r="M316" i="18" s="1"/>
  <c r="L317" i="18"/>
  <c r="M317" i="18" s="1"/>
  <c r="L318" i="18"/>
  <c r="M318" i="18" s="1"/>
  <c r="L319" i="18"/>
  <c r="M319" i="18" s="1"/>
  <c r="L320" i="18"/>
  <c r="M320" i="18" s="1"/>
  <c r="L321" i="18"/>
  <c r="M321" i="18" s="1"/>
  <c r="L322" i="18"/>
  <c r="M322" i="18" s="1"/>
  <c r="L323" i="18"/>
  <c r="M323" i="18" s="1"/>
  <c r="L324" i="18"/>
  <c r="M324" i="18" s="1"/>
  <c r="L325" i="18"/>
  <c r="M325" i="18" s="1"/>
  <c r="L326" i="18"/>
  <c r="M326" i="18" s="1"/>
  <c r="L327" i="18"/>
  <c r="M327" i="18" s="1"/>
  <c r="L328" i="18"/>
  <c r="M328" i="18" s="1"/>
  <c r="L329" i="18"/>
  <c r="M329" i="18" s="1"/>
  <c r="L330" i="18"/>
  <c r="M330" i="18" s="1"/>
  <c r="L331" i="18"/>
  <c r="M331" i="18" s="1"/>
  <c r="L332" i="18"/>
  <c r="M332" i="18" s="1"/>
  <c r="L333" i="18"/>
  <c r="M333" i="18" s="1"/>
  <c r="L334" i="18"/>
  <c r="M334" i="18" s="1"/>
  <c r="L335" i="18"/>
  <c r="M335" i="18" s="1"/>
  <c r="L336" i="18"/>
  <c r="M336" i="18" s="1"/>
  <c r="L337" i="18"/>
  <c r="M337" i="18" s="1"/>
  <c r="L338" i="18"/>
  <c r="M338" i="18" s="1"/>
  <c r="L339" i="18"/>
  <c r="M339" i="18" s="1"/>
  <c r="L340" i="18"/>
  <c r="M340" i="18" s="1"/>
  <c r="L341" i="18"/>
  <c r="M341" i="18" s="1"/>
  <c r="L342" i="18"/>
  <c r="M342" i="18" s="1"/>
  <c r="L343" i="18"/>
  <c r="M343" i="18" s="1"/>
  <c r="L344" i="18"/>
  <c r="M344" i="18" s="1"/>
  <c r="L345" i="18"/>
  <c r="M345" i="18" s="1"/>
  <c r="L346" i="18"/>
  <c r="M346" i="18" s="1"/>
  <c r="L347" i="18"/>
  <c r="M347" i="18" s="1"/>
  <c r="L348" i="18"/>
  <c r="M348" i="18" s="1"/>
  <c r="L349" i="18"/>
  <c r="M349" i="18" s="1"/>
  <c r="L350" i="18"/>
  <c r="M350" i="18" s="1"/>
  <c r="L351" i="18"/>
  <c r="M351" i="18" s="1"/>
  <c r="L352" i="18"/>
  <c r="M352" i="18" s="1"/>
  <c r="L353" i="18"/>
  <c r="M353" i="18" s="1"/>
  <c r="L354" i="18"/>
  <c r="M354" i="18" s="1"/>
  <c r="L355" i="18"/>
  <c r="M355" i="18" s="1"/>
  <c r="L356" i="18"/>
  <c r="M356" i="18" s="1"/>
  <c r="L357" i="18"/>
  <c r="M357" i="18" s="1"/>
  <c r="L358" i="18"/>
  <c r="M358" i="18" s="1"/>
  <c r="L359" i="18"/>
  <c r="M359" i="18" s="1"/>
  <c r="L360" i="18"/>
  <c r="M360" i="18" s="1"/>
  <c r="L361" i="18"/>
  <c r="M361" i="18" s="1"/>
  <c r="L362" i="18"/>
  <c r="M362" i="18" s="1"/>
  <c r="L363" i="18"/>
  <c r="M363" i="18" s="1"/>
  <c r="L5" i="18"/>
  <c r="M5" i="18" s="1"/>
  <c r="J4" i="18"/>
  <c r="O4" i="18" s="1"/>
  <c r="J6" i="18"/>
  <c r="O6" i="18" s="1"/>
  <c r="J7" i="18"/>
  <c r="O7" i="18" s="1"/>
  <c r="J8" i="18"/>
  <c r="O8" i="18" s="1"/>
  <c r="J9" i="18"/>
  <c r="O9" i="18" s="1"/>
  <c r="J10" i="18"/>
  <c r="O10" i="18" s="1"/>
  <c r="J11" i="18"/>
  <c r="O11" i="18" s="1"/>
  <c r="J12" i="18"/>
  <c r="O12" i="18" s="1"/>
  <c r="J13" i="18"/>
  <c r="O13" i="18" s="1"/>
  <c r="J14" i="18"/>
  <c r="O14" i="18" s="1"/>
  <c r="J15" i="18"/>
  <c r="O15" i="18" s="1"/>
  <c r="J16" i="18"/>
  <c r="O16" i="18" s="1"/>
  <c r="J17" i="18"/>
  <c r="O17" i="18" s="1"/>
  <c r="J18" i="18"/>
  <c r="O18" i="18" s="1"/>
  <c r="J19" i="18"/>
  <c r="O19" i="18" s="1"/>
  <c r="J20" i="18"/>
  <c r="O20" i="18" s="1"/>
  <c r="J21" i="18"/>
  <c r="O21" i="18" s="1"/>
  <c r="J22" i="18"/>
  <c r="O22" i="18" s="1"/>
  <c r="J23" i="18"/>
  <c r="O23" i="18" s="1"/>
  <c r="J24" i="18"/>
  <c r="O24" i="18" s="1"/>
  <c r="J25" i="18"/>
  <c r="O25" i="18" s="1"/>
  <c r="J26" i="18"/>
  <c r="O26" i="18" s="1"/>
  <c r="J27" i="18"/>
  <c r="O27" i="18" s="1"/>
  <c r="J28" i="18"/>
  <c r="O28" i="18" s="1"/>
  <c r="J29" i="18"/>
  <c r="O29" i="18" s="1"/>
  <c r="J30" i="18"/>
  <c r="O30" i="18" s="1"/>
  <c r="J31" i="18"/>
  <c r="O31" i="18" s="1"/>
  <c r="J32" i="18"/>
  <c r="O32" i="18" s="1"/>
  <c r="J33" i="18"/>
  <c r="O33" i="18" s="1"/>
  <c r="J34" i="18"/>
  <c r="O34" i="18" s="1"/>
  <c r="J35" i="18"/>
  <c r="O35" i="18" s="1"/>
  <c r="J36" i="18"/>
  <c r="O36" i="18" s="1"/>
  <c r="J37" i="18"/>
  <c r="O37" i="18" s="1"/>
  <c r="J38" i="18"/>
  <c r="O38" i="18" s="1"/>
  <c r="J39" i="18"/>
  <c r="O39" i="18" s="1"/>
  <c r="J40" i="18"/>
  <c r="O40" i="18" s="1"/>
  <c r="J41" i="18"/>
  <c r="O41" i="18" s="1"/>
  <c r="J42" i="18"/>
  <c r="O42" i="18" s="1"/>
  <c r="J43" i="18"/>
  <c r="O43" i="18" s="1"/>
  <c r="J44" i="18"/>
  <c r="O44" i="18" s="1"/>
  <c r="J45" i="18"/>
  <c r="O45" i="18" s="1"/>
  <c r="J46" i="18"/>
  <c r="O46" i="18" s="1"/>
  <c r="J47" i="18"/>
  <c r="O47" i="18" s="1"/>
  <c r="J48" i="18"/>
  <c r="O48" i="18" s="1"/>
  <c r="J49" i="18"/>
  <c r="O49" i="18" s="1"/>
  <c r="J50" i="18"/>
  <c r="O50" i="18" s="1"/>
  <c r="J51" i="18"/>
  <c r="O51" i="18" s="1"/>
  <c r="J52" i="18"/>
  <c r="O52" i="18" s="1"/>
  <c r="J53" i="18"/>
  <c r="O53" i="18" s="1"/>
  <c r="J54" i="18"/>
  <c r="O54" i="18" s="1"/>
  <c r="J55" i="18"/>
  <c r="O55" i="18" s="1"/>
  <c r="J56" i="18"/>
  <c r="O56" i="18" s="1"/>
  <c r="J57" i="18"/>
  <c r="O57" i="18" s="1"/>
  <c r="J58" i="18"/>
  <c r="O58" i="18" s="1"/>
  <c r="J59" i="18"/>
  <c r="O59" i="18" s="1"/>
  <c r="J60" i="18"/>
  <c r="O60" i="18" s="1"/>
  <c r="J61" i="18"/>
  <c r="O61" i="18" s="1"/>
  <c r="J62" i="18"/>
  <c r="O62" i="18" s="1"/>
  <c r="J63" i="18"/>
  <c r="O63" i="18" s="1"/>
  <c r="J64" i="18"/>
  <c r="O64" i="18" s="1"/>
  <c r="J65" i="18"/>
  <c r="O65" i="18" s="1"/>
  <c r="J66" i="18"/>
  <c r="O66" i="18" s="1"/>
  <c r="J67" i="18"/>
  <c r="O67" i="18" s="1"/>
  <c r="J68" i="18"/>
  <c r="O68" i="18" s="1"/>
  <c r="J69" i="18"/>
  <c r="O69" i="18" s="1"/>
  <c r="J70" i="18"/>
  <c r="O70" i="18" s="1"/>
  <c r="J71" i="18"/>
  <c r="O71" i="18" s="1"/>
  <c r="J72" i="18"/>
  <c r="O72" i="18" s="1"/>
  <c r="J73" i="18"/>
  <c r="O73" i="18" s="1"/>
  <c r="J74" i="18"/>
  <c r="O74" i="18" s="1"/>
  <c r="J75" i="18"/>
  <c r="O75" i="18" s="1"/>
  <c r="J76" i="18"/>
  <c r="O76" i="18" s="1"/>
  <c r="J77" i="18"/>
  <c r="O77" i="18" s="1"/>
  <c r="J78" i="18"/>
  <c r="O78" i="18" s="1"/>
  <c r="J79" i="18"/>
  <c r="O79" i="18" s="1"/>
  <c r="J80" i="18"/>
  <c r="O80" i="18" s="1"/>
  <c r="J81" i="18"/>
  <c r="O81" i="18" s="1"/>
  <c r="J82" i="18"/>
  <c r="O82" i="18" s="1"/>
  <c r="J83" i="18"/>
  <c r="O83" i="18" s="1"/>
  <c r="J84" i="18"/>
  <c r="O84" i="18" s="1"/>
  <c r="J85" i="18"/>
  <c r="O85" i="18" s="1"/>
  <c r="J86" i="18"/>
  <c r="O86" i="18" s="1"/>
  <c r="J87" i="18"/>
  <c r="O87" i="18" s="1"/>
  <c r="J88" i="18"/>
  <c r="O88" i="18" s="1"/>
  <c r="J89" i="18"/>
  <c r="O89" i="18" s="1"/>
  <c r="J90" i="18"/>
  <c r="O90" i="18" s="1"/>
  <c r="J91" i="18"/>
  <c r="O91" i="18" s="1"/>
  <c r="J92" i="18"/>
  <c r="O92" i="18" s="1"/>
  <c r="J93" i="18"/>
  <c r="O93" i="18" s="1"/>
  <c r="J94" i="18"/>
  <c r="O94" i="18" s="1"/>
  <c r="J95" i="18"/>
  <c r="O95" i="18" s="1"/>
  <c r="J96" i="18"/>
  <c r="O96" i="18" s="1"/>
  <c r="J97" i="18"/>
  <c r="O97" i="18" s="1"/>
  <c r="J98" i="18"/>
  <c r="O98" i="18" s="1"/>
  <c r="J99" i="18"/>
  <c r="O99" i="18" s="1"/>
  <c r="J100" i="18"/>
  <c r="O100" i="18" s="1"/>
  <c r="J101" i="18"/>
  <c r="O101" i="18" s="1"/>
  <c r="J102" i="18"/>
  <c r="O102" i="18" s="1"/>
  <c r="J103" i="18"/>
  <c r="O103" i="18" s="1"/>
  <c r="J104" i="18"/>
  <c r="O104" i="18" s="1"/>
  <c r="J105" i="18"/>
  <c r="O105" i="18" s="1"/>
  <c r="J106" i="18"/>
  <c r="O106" i="18" s="1"/>
  <c r="J107" i="18"/>
  <c r="O107" i="18" s="1"/>
  <c r="J108" i="18"/>
  <c r="O108" i="18" s="1"/>
  <c r="J109" i="18"/>
  <c r="O109" i="18" s="1"/>
  <c r="J110" i="18"/>
  <c r="O110" i="18" s="1"/>
  <c r="J111" i="18"/>
  <c r="O111" i="18" s="1"/>
  <c r="J112" i="18"/>
  <c r="O112" i="18" s="1"/>
  <c r="J113" i="18"/>
  <c r="O113" i="18" s="1"/>
  <c r="J114" i="18"/>
  <c r="O114" i="18" s="1"/>
  <c r="J115" i="18"/>
  <c r="O115" i="18" s="1"/>
  <c r="J116" i="18"/>
  <c r="O116" i="18" s="1"/>
  <c r="J117" i="18"/>
  <c r="O117" i="18" s="1"/>
  <c r="J118" i="18"/>
  <c r="O118" i="18" s="1"/>
  <c r="J119" i="18"/>
  <c r="O119" i="18" s="1"/>
  <c r="J120" i="18"/>
  <c r="O120" i="18" s="1"/>
  <c r="J121" i="18"/>
  <c r="O121" i="18" s="1"/>
  <c r="J122" i="18"/>
  <c r="O122" i="18" s="1"/>
  <c r="J123" i="18"/>
  <c r="O123" i="18" s="1"/>
  <c r="J124" i="18"/>
  <c r="O124" i="18" s="1"/>
  <c r="J125" i="18"/>
  <c r="O125" i="18" s="1"/>
  <c r="J126" i="18"/>
  <c r="O126" i="18" s="1"/>
  <c r="J127" i="18"/>
  <c r="O127" i="18" s="1"/>
  <c r="J128" i="18"/>
  <c r="O128" i="18" s="1"/>
  <c r="J129" i="18"/>
  <c r="O129" i="18" s="1"/>
  <c r="J130" i="18"/>
  <c r="O130" i="18" s="1"/>
  <c r="J131" i="18"/>
  <c r="O131" i="18" s="1"/>
  <c r="J132" i="18"/>
  <c r="O132" i="18" s="1"/>
  <c r="J133" i="18"/>
  <c r="O133" i="18" s="1"/>
  <c r="J134" i="18"/>
  <c r="O134" i="18" s="1"/>
  <c r="J135" i="18"/>
  <c r="O135" i="18" s="1"/>
  <c r="J136" i="18"/>
  <c r="O136" i="18" s="1"/>
  <c r="J137" i="18"/>
  <c r="O137" i="18" s="1"/>
  <c r="J138" i="18"/>
  <c r="O138" i="18" s="1"/>
  <c r="J139" i="18"/>
  <c r="O139" i="18" s="1"/>
  <c r="J140" i="18"/>
  <c r="O140" i="18" s="1"/>
  <c r="J141" i="18"/>
  <c r="O141" i="18" s="1"/>
  <c r="J142" i="18"/>
  <c r="O142" i="18" s="1"/>
  <c r="J143" i="18"/>
  <c r="O143" i="18" s="1"/>
  <c r="J144" i="18"/>
  <c r="O144" i="18" s="1"/>
  <c r="J145" i="18"/>
  <c r="O145" i="18" s="1"/>
  <c r="J146" i="18"/>
  <c r="O146" i="18" s="1"/>
  <c r="J147" i="18"/>
  <c r="O147" i="18" s="1"/>
  <c r="J148" i="18"/>
  <c r="O148" i="18" s="1"/>
  <c r="J149" i="18"/>
  <c r="O149" i="18" s="1"/>
  <c r="J150" i="18"/>
  <c r="O150" i="18" s="1"/>
  <c r="J151" i="18"/>
  <c r="O151" i="18" s="1"/>
  <c r="J152" i="18"/>
  <c r="O152" i="18" s="1"/>
  <c r="J153" i="18"/>
  <c r="O153" i="18" s="1"/>
  <c r="J154" i="18"/>
  <c r="O154" i="18" s="1"/>
  <c r="J155" i="18"/>
  <c r="O155" i="18" s="1"/>
  <c r="J156" i="18"/>
  <c r="O156" i="18" s="1"/>
  <c r="J157" i="18"/>
  <c r="O157" i="18" s="1"/>
  <c r="J158" i="18"/>
  <c r="O158" i="18" s="1"/>
  <c r="J159" i="18"/>
  <c r="O159" i="18" s="1"/>
  <c r="J160" i="18"/>
  <c r="O160" i="18" s="1"/>
  <c r="J161" i="18"/>
  <c r="O161" i="18" s="1"/>
  <c r="J162" i="18"/>
  <c r="O162" i="18" s="1"/>
  <c r="J163" i="18"/>
  <c r="O163" i="18" s="1"/>
  <c r="J164" i="18"/>
  <c r="O164" i="18" s="1"/>
  <c r="J165" i="18"/>
  <c r="O165" i="18" s="1"/>
  <c r="J166" i="18"/>
  <c r="O166" i="18" s="1"/>
  <c r="J167" i="18"/>
  <c r="O167" i="18" s="1"/>
  <c r="J168" i="18"/>
  <c r="O168" i="18" s="1"/>
  <c r="J169" i="18"/>
  <c r="O169" i="18" s="1"/>
  <c r="J170" i="18"/>
  <c r="O170" i="18" s="1"/>
  <c r="J171" i="18"/>
  <c r="O171" i="18" s="1"/>
  <c r="J172" i="18"/>
  <c r="O172" i="18" s="1"/>
  <c r="J173" i="18"/>
  <c r="O173" i="18" s="1"/>
  <c r="J174" i="18"/>
  <c r="O174" i="18" s="1"/>
  <c r="J175" i="18"/>
  <c r="O175" i="18" s="1"/>
  <c r="J176" i="18"/>
  <c r="O176" i="18" s="1"/>
  <c r="J177" i="18"/>
  <c r="O177" i="18" s="1"/>
  <c r="J178" i="18"/>
  <c r="O178" i="18" s="1"/>
  <c r="J179" i="18"/>
  <c r="O179" i="18" s="1"/>
  <c r="J180" i="18"/>
  <c r="O180" i="18" s="1"/>
  <c r="J181" i="18"/>
  <c r="O181" i="18" s="1"/>
  <c r="J182" i="18"/>
  <c r="O182" i="18" s="1"/>
  <c r="J183" i="18"/>
  <c r="O183" i="18" s="1"/>
  <c r="J184" i="18"/>
  <c r="O184" i="18" s="1"/>
  <c r="J185" i="18"/>
  <c r="O185" i="18" s="1"/>
  <c r="J186" i="18"/>
  <c r="O186" i="18" s="1"/>
  <c r="J187" i="18"/>
  <c r="O187" i="18" s="1"/>
  <c r="J188" i="18"/>
  <c r="O188" i="18" s="1"/>
  <c r="J189" i="18"/>
  <c r="O189" i="18" s="1"/>
  <c r="J190" i="18"/>
  <c r="O190" i="18" s="1"/>
  <c r="J191" i="18"/>
  <c r="O191" i="18" s="1"/>
  <c r="J192" i="18"/>
  <c r="O192" i="18" s="1"/>
  <c r="J193" i="18"/>
  <c r="O193" i="18" s="1"/>
  <c r="J194" i="18"/>
  <c r="O194" i="18" s="1"/>
  <c r="J195" i="18"/>
  <c r="O195" i="18" s="1"/>
  <c r="J196" i="18"/>
  <c r="O196" i="18" s="1"/>
  <c r="J197" i="18"/>
  <c r="O197" i="18" s="1"/>
  <c r="J198" i="18"/>
  <c r="O198" i="18" s="1"/>
  <c r="J199" i="18"/>
  <c r="O199" i="18" s="1"/>
  <c r="J200" i="18"/>
  <c r="O200" i="18" s="1"/>
  <c r="J201" i="18"/>
  <c r="O201" i="18" s="1"/>
  <c r="J202" i="18"/>
  <c r="O202" i="18" s="1"/>
  <c r="J203" i="18"/>
  <c r="O203" i="18" s="1"/>
  <c r="J204" i="18"/>
  <c r="O204" i="18" s="1"/>
  <c r="J205" i="18"/>
  <c r="O205" i="18" s="1"/>
  <c r="J206" i="18"/>
  <c r="O206" i="18" s="1"/>
  <c r="J207" i="18"/>
  <c r="O207" i="18" s="1"/>
  <c r="J208" i="18"/>
  <c r="O208" i="18" s="1"/>
  <c r="J209" i="18"/>
  <c r="O209" i="18" s="1"/>
  <c r="J210" i="18"/>
  <c r="O210" i="18" s="1"/>
  <c r="J211" i="18"/>
  <c r="O211" i="18" s="1"/>
  <c r="J212" i="18"/>
  <c r="O212" i="18" s="1"/>
  <c r="J213" i="18"/>
  <c r="O213" i="18" s="1"/>
  <c r="J214" i="18"/>
  <c r="O214" i="18" s="1"/>
  <c r="J215" i="18"/>
  <c r="O215" i="18" s="1"/>
  <c r="J216" i="18"/>
  <c r="O216" i="18" s="1"/>
  <c r="J217" i="18"/>
  <c r="O217" i="18" s="1"/>
  <c r="J218" i="18"/>
  <c r="O218" i="18" s="1"/>
  <c r="J219" i="18"/>
  <c r="O219" i="18" s="1"/>
  <c r="J220" i="18"/>
  <c r="O220" i="18" s="1"/>
  <c r="J221" i="18"/>
  <c r="O221" i="18" s="1"/>
  <c r="J222" i="18"/>
  <c r="O222" i="18" s="1"/>
  <c r="J223" i="18"/>
  <c r="O223" i="18" s="1"/>
  <c r="J224" i="18"/>
  <c r="O224" i="18" s="1"/>
  <c r="J225" i="18"/>
  <c r="O225" i="18" s="1"/>
  <c r="J226" i="18"/>
  <c r="O226" i="18" s="1"/>
  <c r="J227" i="18"/>
  <c r="O227" i="18" s="1"/>
  <c r="J228" i="18"/>
  <c r="O228" i="18" s="1"/>
  <c r="J229" i="18"/>
  <c r="O229" i="18" s="1"/>
  <c r="J230" i="18"/>
  <c r="O230" i="18" s="1"/>
  <c r="J231" i="18"/>
  <c r="O231" i="18" s="1"/>
  <c r="J232" i="18"/>
  <c r="O232" i="18" s="1"/>
  <c r="J233" i="18"/>
  <c r="O233" i="18" s="1"/>
  <c r="J234" i="18"/>
  <c r="O234" i="18" s="1"/>
  <c r="J235" i="18"/>
  <c r="O235" i="18" s="1"/>
  <c r="J236" i="18"/>
  <c r="O236" i="18" s="1"/>
  <c r="J237" i="18"/>
  <c r="O237" i="18" s="1"/>
  <c r="J238" i="18"/>
  <c r="O238" i="18" s="1"/>
  <c r="J239" i="18"/>
  <c r="O239" i="18" s="1"/>
  <c r="J240" i="18"/>
  <c r="O240" i="18" s="1"/>
  <c r="J241" i="18"/>
  <c r="O241" i="18" s="1"/>
  <c r="J242" i="18"/>
  <c r="O242" i="18" s="1"/>
  <c r="J243" i="18"/>
  <c r="O243" i="18" s="1"/>
  <c r="J244" i="18"/>
  <c r="O244" i="18" s="1"/>
  <c r="J245" i="18"/>
  <c r="O245" i="18" s="1"/>
  <c r="J246" i="18"/>
  <c r="O246" i="18" s="1"/>
  <c r="J247" i="18"/>
  <c r="O247" i="18" s="1"/>
  <c r="J248" i="18"/>
  <c r="O248" i="18" s="1"/>
  <c r="J249" i="18"/>
  <c r="O249" i="18" s="1"/>
  <c r="J250" i="18"/>
  <c r="O250" i="18" s="1"/>
  <c r="J251" i="18"/>
  <c r="O251" i="18" s="1"/>
  <c r="J252" i="18"/>
  <c r="O252" i="18" s="1"/>
  <c r="J253" i="18"/>
  <c r="O253" i="18" s="1"/>
  <c r="J254" i="18"/>
  <c r="O254" i="18" s="1"/>
  <c r="J255" i="18"/>
  <c r="O255" i="18" s="1"/>
  <c r="J256" i="18"/>
  <c r="O256" i="18" s="1"/>
  <c r="J257" i="18"/>
  <c r="O257" i="18" s="1"/>
  <c r="J258" i="18"/>
  <c r="O258" i="18" s="1"/>
  <c r="J259" i="18"/>
  <c r="O259" i="18" s="1"/>
  <c r="J260" i="18"/>
  <c r="O260" i="18" s="1"/>
  <c r="J261" i="18"/>
  <c r="O261" i="18" s="1"/>
  <c r="J262" i="18"/>
  <c r="O262" i="18" s="1"/>
  <c r="J263" i="18"/>
  <c r="O263" i="18" s="1"/>
  <c r="J264" i="18"/>
  <c r="O264" i="18" s="1"/>
  <c r="J265" i="18"/>
  <c r="O265" i="18" s="1"/>
  <c r="J266" i="18"/>
  <c r="O266" i="18" s="1"/>
  <c r="J267" i="18"/>
  <c r="O267" i="18" s="1"/>
  <c r="J268" i="18"/>
  <c r="O268" i="18" s="1"/>
  <c r="J269" i="18"/>
  <c r="O269" i="18" s="1"/>
  <c r="J270" i="18"/>
  <c r="O270" i="18" s="1"/>
  <c r="J271" i="18"/>
  <c r="O271" i="18" s="1"/>
  <c r="J272" i="18"/>
  <c r="O272" i="18" s="1"/>
  <c r="J273" i="18"/>
  <c r="O273" i="18" s="1"/>
  <c r="J274" i="18"/>
  <c r="O274" i="18" s="1"/>
  <c r="J275" i="18"/>
  <c r="O275" i="18" s="1"/>
  <c r="J276" i="18"/>
  <c r="O276" i="18" s="1"/>
  <c r="J277" i="18"/>
  <c r="O277" i="18" s="1"/>
  <c r="J278" i="18"/>
  <c r="O278" i="18" s="1"/>
  <c r="J279" i="18"/>
  <c r="O279" i="18" s="1"/>
  <c r="J280" i="18"/>
  <c r="O280" i="18" s="1"/>
  <c r="J281" i="18"/>
  <c r="O281" i="18" s="1"/>
  <c r="J282" i="18"/>
  <c r="O282" i="18" s="1"/>
  <c r="J283" i="18"/>
  <c r="O283" i="18" s="1"/>
  <c r="J284" i="18"/>
  <c r="O284" i="18" s="1"/>
  <c r="J285" i="18"/>
  <c r="O285" i="18" s="1"/>
  <c r="J286" i="18"/>
  <c r="O286" i="18" s="1"/>
  <c r="J287" i="18"/>
  <c r="O287" i="18" s="1"/>
  <c r="J288" i="18"/>
  <c r="O288" i="18" s="1"/>
  <c r="J289" i="18"/>
  <c r="O289" i="18" s="1"/>
  <c r="J290" i="18"/>
  <c r="O290" i="18" s="1"/>
  <c r="J291" i="18"/>
  <c r="O291" i="18" s="1"/>
  <c r="J292" i="18"/>
  <c r="O292" i="18" s="1"/>
  <c r="J293" i="18"/>
  <c r="O293" i="18" s="1"/>
  <c r="J294" i="18"/>
  <c r="O294" i="18" s="1"/>
  <c r="J295" i="18"/>
  <c r="O295" i="18" s="1"/>
  <c r="J296" i="18"/>
  <c r="O296" i="18" s="1"/>
  <c r="J297" i="18"/>
  <c r="O297" i="18" s="1"/>
  <c r="J298" i="18"/>
  <c r="O298" i="18" s="1"/>
  <c r="J299" i="18"/>
  <c r="O299" i="18" s="1"/>
  <c r="J300" i="18"/>
  <c r="O300" i="18" s="1"/>
  <c r="J301" i="18"/>
  <c r="O301" i="18" s="1"/>
  <c r="J302" i="18"/>
  <c r="O302" i="18" s="1"/>
  <c r="J303" i="18"/>
  <c r="O303" i="18" s="1"/>
  <c r="J304" i="18"/>
  <c r="O304" i="18" s="1"/>
  <c r="J305" i="18"/>
  <c r="O305" i="18" s="1"/>
  <c r="J306" i="18"/>
  <c r="O306" i="18" s="1"/>
  <c r="J307" i="18"/>
  <c r="O307" i="18" s="1"/>
  <c r="J308" i="18"/>
  <c r="O308" i="18" s="1"/>
  <c r="J309" i="18"/>
  <c r="O309" i="18" s="1"/>
  <c r="J310" i="18"/>
  <c r="O310" i="18" s="1"/>
  <c r="J311" i="18"/>
  <c r="O311" i="18" s="1"/>
  <c r="J312" i="18"/>
  <c r="O312" i="18" s="1"/>
  <c r="J313" i="18"/>
  <c r="O313" i="18" s="1"/>
  <c r="J314" i="18"/>
  <c r="O314" i="18" s="1"/>
  <c r="J315" i="18"/>
  <c r="O315" i="18" s="1"/>
  <c r="J316" i="18"/>
  <c r="O316" i="18" s="1"/>
  <c r="J317" i="18"/>
  <c r="O317" i="18" s="1"/>
  <c r="J318" i="18"/>
  <c r="O318" i="18" s="1"/>
  <c r="J319" i="18"/>
  <c r="O319" i="18" s="1"/>
  <c r="J320" i="18"/>
  <c r="O320" i="18" s="1"/>
  <c r="J321" i="18"/>
  <c r="O321" i="18" s="1"/>
  <c r="J322" i="18"/>
  <c r="O322" i="18" s="1"/>
  <c r="J323" i="18"/>
  <c r="O323" i="18" s="1"/>
  <c r="J324" i="18"/>
  <c r="O324" i="18" s="1"/>
  <c r="J325" i="18"/>
  <c r="O325" i="18" s="1"/>
  <c r="J326" i="18"/>
  <c r="O326" i="18" s="1"/>
  <c r="J327" i="18"/>
  <c r="O327" i="18" s="1"/>
  <c r="J328" i="18"/>
  <c r="O328" i="18" s="1"/>
  <c r="J329" i="18"/>
  <c r="O329" i="18" s="1"/>
  <c r="J330" i="18"/>
  <c r="O330" i="18" s="1"/>
  <c r="J331" i="18"/>
  <c r="O331" i="18" s="1"/>
  <c r="J332" i="18"/>
  <c r="O332" i="18" s="1"/>
  <c r="J333" i="18"/>
  <c r="O333" i="18" s="1"/>
  <c r="J334" i="18"/>
  <c r="O334" i="18" s="1"/>
  <c r="J335" i="18"/>
  <c r="O335" i="18" s="1"/>
  <c r="J336" i="18"/>
  <c r="O336" i="18" s="1"/>
  <c r="J337" i="18"/>
  <c r="O337" i="18" s="1"/>
  <c r="J338" i="18"/>
  <c r="O338" i="18" s="1"/>
  <c r="J339" i="18"/>
  <c r="O339" i="18" s="1"/>
  <c r="J340" i="18"/>
  <c r="O340" i="18" s="1"/>
  <c r="J341" i="18"/>
  <c r="O341" i="18" s="1"/>
  <c r="J342" i="18"/>
  <c r="O342" i="18" s="1"/>
  <c r="J343" i="18"/>
  <c r="O343" i="18" s="1"/>
  <c r="J344" i="18"/>
  <c r="O344" i="18" s="1"/>
  <c r="J345" i="18"/>
  <c r="O345" i="18" s="1"/>
  <c r="J346" i="18"/>
  <c r="O346" i="18" s="1"/>
  <c r="J347" i="18"/>
  <c r="O347" i="18" s="1"/>
  <c r="J348" i="18"/>
  <c r="O348" i="18" s="1"/>
  <c r="J349" i="18"/>
  <c r="O349" i="18" s="1"/>
  <c r="J350" i="18"/>
  <c r="O350" i="18" s="1"/>
  <c r="J351" i="18"/>
  <c r="O351" i="18" s="1"/>
  <c r="J352" i="18"/>
  <c r="O352" i="18" s="1"/>
  <c r="J353" i="18"/>
  <c r="O353" i="18" s="1"/>
  <c r="J354" i="18"/>
  <c r="O354" i="18" s="1"/>
  <c r="J355" i="18"/>
  <c r="O355" i="18" s="1"/>
  <c r="J356" i="18"/>
  <c r="O356" i="18" s="1"/>
  <c r="J357" i="18"/>
  <c r="O357" i="18" s="1"/>
  <c r="J358" i="18"/>
  <c r="O358" i="18" s="1"/>
  <c r="J359" i="18"/>
  <c r="O359" i="18" s="1"/>
  <c r="J360" i="18"/>
  <c r="O360" i="18" s="1"/>
  <c r="J361" i="18"/>
  <c r="O361" i="18" s="1"/>
  <c r="J362" i="18"/>
  <c r="O362" i="18" s="1"/>
  <c r="J363" i="18"/>
  <c r="O363" i="18" s="1"/>
  <c r="J5" i="18"/>
  <c r="O5" i="18" s="1"/>
  <c r="I4" i="18"/>
  <c r="I6" i="18"/>
  <c r="I7" i="18"/>
  <c r="N7" i="18" s="1"/>
  <c r="I8" i="18"/>
  <c r="I9" i="18"/>
  <c r="I10" i="18"/>
  <c r="I11" i="18"/>
  <c r="N11" i="18" s="1"/>
  <c r="I12" i="18"/>
  <c r="I13" i="18"/>
  <c r="I14" i="18"/>
  <c r="I15" i="18"/>
  <c r="N15" i="18" s="1"/>
  <c r="I16" i="18"/>
  <c r="I17" i="18"/>
  <c r="I18" i="18"/>
  <c r="I19" i="18"/>
  <c r="N19" i="18" s="1"/>
  <c r="I20" i="18"/>
  <c r="I21" i="18"/>
  <c r="I22" i="18"/>
  <c r="I23" i="18"/>
  <c r="N23" i="18" s="1"/>
  <c r="I24" i="18"/>
  <c r="I25" i="18"/>
  <c r="I26" i="18"/>
  <c r="I27" i="18"/>
  <c r="N27" i="18" s="1"/>
  <c r="I28" i="18"/>
  <c r="I29" i="18"/>
  <c r="I30" i="18"/>
  <c r="I31" i="18"/>
  <c r="N31" i="18" s="1"/>
  <c r="I32" i="18"/>
  <c r="I33" i="18"/>
  <c r="I34" i="18"/>
  <c r="I35" i="18"/>
  <c r="N35" i="18" s="1"/>
  <c r="I36" i="18"/>
  <c r="I37" i="18"/>
  <c r="I38" i="18"/>
  <c r="I39" i="18"/>
  <c r="N39" i="18" s="1"/>
  <c r="I40" i="18"/>
  <c r="I41" i="18"/>
  <c r="I42" i="18"/>
  <c r="I43" i="18"/>
  <c r="N43" i="18" s="1"/>
  <c r="I44" i="18"/>
  <c r="I45" i="18"/>
  <c r="I46" i="18"/>
  <c r="I47" i="18"/>
  <c r="N47" i="18" s="1"/>
  <c r="I48" i="18"/>
  <c r="I49" i="18"/>
  <c r="I50" i="18"/>
  <c r="I51" i="18"/>
  <c r="N51" i="18" s="1"/>
  <c r="I52" i="18"/>
  <c r="I53" i="18"/>
  <c r="I54" i="18"/>
  <c r="N54" i="18" s="1"/>
  <c r="I55" i="18"/>
  <c r="N55" i="18" s="1"/>
  <c r="I56" i="18"/>
  <c r="I57" i="18"/>
  <c r="I58" i="18"/>
  <c r="N58" i="18" s="1"/>
  <c r="I59" i="18"/>
  <c r="N59" i="18" s="1"/>
  <c r="I60" i="18"/>
  <c r="I61" i="18"/>
  <c r="I62" i="18"/>
  <c r="N62" i="18" s="1"/>
  <c r="I63" i="18"/>
  <c r="N63" i="18" s="1"/>
  <c r="I64" i="18"/>
  <c r="I65" i="18"/>
  <c r="I66" i="18"/>
  <c r="N66" i="18" s="1"/>
  <c r="I67" i="18"/>
  <c r="I68" i="18"/>
  <c r="I69" i="18"/>
  <c r="I70" i="18"/>
  <c r="N70" i="18" s="1"/>
  <c r="I71" i="18"/>
  <c r="N71" i="18" s="1"/>
  <c r="I72" i="18"/>
  <c r="I73" i="18"/>
  <c r="I74" i="18"/>
  <c r="N74" i="18" s="1"/>
  <c r="I75" i="18"/>
  <c r="N75" i="18" s="1"/>
  <c r="I76" i="18"/>
  <c r="I77" i="18"/>
  <c r="N77" i="18" s="1"/>
  <c r="I78" i="18"/>
  <c r="K78" i="18" s="1"/>
  <c r="I79" i="18"/>
  <c r="N79" i="18" s="1"/>
  <c r="I80" i="18"/>
  <c r="I81" i="18"/>
  <c r="N81" i="18" s="1"/>
  <c r="I82" i="18"/>
  <c r="K82" i="18" s="1"/>
  <c r="I83" i="18"/>
  <c r="I84" i="18"/>
  <c r="I85" i="18"/>
  <c r="N85" i="18" s="1"/>
  <c r="I86" i="18"/>
  <c r="N86" i="18" s="1"/>
  <c r="I87" i="18"/>
  <c r="N87" i="18" s="1"/>
  <c r="I88" i="18"/>
  <c r="I89" i="18"/>
  <c r="I90" i="18"/>
  <c r="N90" i="18" s="1"/>
  <c r="I91" i="18"/>
  <c r="N91" i="18" s="1"/>
  <c r="I92" i="18"/>
  <c r="I93" i="18"/>
  <c r="N93" i="18" s="1"/>
  <c r="I94" i="18"/>
  <c r="K94" i="18" s="1"/>
  <c r="I95" i="18"/>
  <c r="N95" i="18" s="1"/>
  <c r="I96" i="18"/>
  <c r="I97" i="18"/>
  <c r="I98" i="18"/>
  <c r="N98" i="18" s="1"/>
  <c r="I99" i="18"/>
  <c r="I100" i="18"/>
  <c r="I101" i="18"/>
  <c r="I102" i="18"/>
  <c r="K102" i="18" s="1"/>
  <c r="I103" i="18"/>
  <c r="N103" i="18" s="1"/>
  <c r="I104" i="18"/>
  <c r="I105" i="18"/>
  <c r="I106" i="18"/>
  <c r="N106" i="18" s="1"/>
  <c r="I107" i="18"/>
  <c r="N107" i="18" s="1"/>
  <c r="I108" i="18"/>
  <c r="I109" i="18"/>
  <c r="N109" i="18" s="1"/>
  <c r="I110" i="18"/>
  <c r="K110" i="18" s="1"/>
  <c r="I111" i="18"/>
  <c r="N111" i="18" s="1"/>
  <c r="I112" i="18"/>
  <c r="K112" i="18" s="1"/>
  <c r="I113" i="18"/>
  <c r="N113" i="18" s="1"/>
  <c r="I114" i="18"/>
  <c r="N114" i="18" s="1"/>
  <c r="I115" i="18"/>
  <c r="I116" i="18"/>
  <c r="K116" i="18" s="1"/>
  <c r="I117" i="18"/>
  <c r="N117" i="18" s="1"/>
  <c r="I118" i="18"/>
  <c r="N118" i="18" s="1"/>
  <c r="I119" i="18"/>
  <c r="N119" i="18" s="1"/>
  <c r="I120" i="18"/>
  <c r="I121" i="18"/>
  <c r="I122" i="18"/>
  <c r="K122" i="18" s="1"/>
  <c r="I123" i="18"/>
  <c r="N123" i="18" s="1"/>
  <c r="I124" i="18"/>
  <c r="K124" i="18" s="1"/>
  <c r="I125" i="18"/>
  <c r="I126" i="18"/>
  <c r="K126" i="18" s="1"/>
  <c r="I127" i="18"/>
  <c r="N127" i="18" s="1"/>
  <c r="I128" i="18"/>
  <c r="I129" i="18"/>
  <c r="I130" i="18"/>
  <c r="N130" i="18" s="1"/>
  <c r="I131" i="18"/>
  <c r="I132" i="18"/>
  <c r="K132" i="18" s="1"/>
  <c r="I133" i="18"/>
  <c r="N133" i="18" s="1"/>
  <c r="I134" i="18"/>
  <c r="N134" i="18" s="1"/>
  <c r="I135" i="18"/>
  <c r="N135" i="18" s="1"/>
  <c r="I136" i="18"/>
  <c r="I137" i="18"/>
  <c r="K137" i="18" s="1"/>
  <c r="I138" i="18"/>
  <c r="N138" i="18" s="1"/>
  <c r="I139" i="18"/>
  <c r="N139" i="18" s="1"/>
  <c r="I140" i="18"/>
  <c r="K140" i="18" s="1"/>
  <c r="I141" i="18"/>
  <c r="N141" i="18" s="1"/>
  <c r="I142" i="18"/>
  <c r="I143" i="18"/>
  <c r="N143" i="18" s="1"/>
  <c r="I144" i="18"/>
  <c r="K144" i="18" s="1"/>
  <c r="I145" i="18"/>
  <c r="N145" i="18" s="1"/>
  <c r="I146" i="18"/>
  <c r="N146" i="18" s="1"/>
  <c r="I147" i="18"/>
  <c r="I148" i="18"/>
  <c r="N148" i="18" s="1"/>
  <c r="I149" i="18"/>
  <c r="I150" i="18"/>
  <c r="N150" i="18" s="1"/>
  <c r="I151" i="18"/>
  <c r="I152" i="18"/>
  <c r="N152" i="18" s="1"/>
  <c r="I153" i="18"/>
  <c r="I154" i="18"/>
  <c r="K154" i="18" s="1"/>
  <c r="I155" i="18"/>
  <c r="I156" i="18"/>
  <c r="N156" i="18" s="1"/>
  <c r="I157" i="18"/>
  <c r="I158" i="18"/>
  <c r="N158" i="18" s="1"/>
  <c r="I159" i="18"/>
  <c r="I160" i="18"/>
  <c r="K160" i="18" s="1"/>
  <c r="I161" i="18"/>
  <c r="N161" i="18" s="1"/>
  <c r="I162" i="18"/>
  <c r="N162" i="18" s="1"/>
  <c r="I163" i="18"/>
  <c r="I164" i="18"/>
  <c r="N164" i="18" s="1"/>
  <c r="I165" i="18"/>
  <c r="N165" i="18" s="1"/>
  <c r="I166" i="18"/>
  <c r="N166" i="18" s="1"/>
  <c r="I167" i="18"/>
  <c r="I168" i="18"/>
  <c r="N168" i="18" s="1"/>
  <c r="I169" i="18"/>
  <c r="I170" i="18"/>
  <c r="N170" i="18" s="1"/>
  <c r="I171" i="18"/>
  <c r="I172" i="18"/>
  <c r="K172" i="18" s="1"/>
  <c r="I173" i="18"/>
  <c r="I174" i="18"/>
  <c r="N174" i="18" s="1"/>
  <c r="I175" i="18"/>
  <c r="I176" i="18"/>
  <c r="N176" i="18" s="1"/>
  <c r="I177" i="18"/>
  <c r="I178" i="18"/>
  <c r="N178" i="18" s="1"/>
  <c r="I179" i="18"/>
  <c r="I180" i="18"/>
  <c r="N180" i="18" s="1"/>
  <c r="I181" i="18"/>
  <c r="N181" i="18" s="1"/>
  <c r="I182" i="18"/>
  <c r="K182" i="18" s="1"/>
  <c r="I183" i="18"/>
  <c r="I184" i="18"/>
  <c r="N184" i="18" s="1"/>
  <c r="I185" i="18"/>
  <c r="N185" i="18" s="1"/>
  <c r="I186" i="18"/>
  <c r="N186" i="18" s="1"/>
  <c r="I187" i="18"/>
  <c r="I188" i="18"/>
  <c r="N188" i="18" s="1"/>
  <c r="I189" i="18"/>
  <c r="N189" i="18" s="1"/>
  <c r="I190" i="18"/>
  <c r="N190" i="18" s="1"/>
  <c r="I191" i="18"/>
  <c r="I192" i="18"/>
  <c r="N192" i="18" s="1"/>
  <c r="I193" i="18"/>
  <c r="I194" i="18"/>
  <c r="N194" i="18" s="1"/>
  <c r="I195" i="18"/>
  <c r="I196" i="18"/>
  <c r="N196" i="18" s="1"/>
  <c r="I197" i="18"/>
  <c r="I198" i="18"/>
  <c r="N198" i="18" s="1"/>
  <c r="I199" i="18"/>
  <c r="I200" i="18"/>
  <c r="N200" i="18" s="1"/>
  <c r="I201" i="18"/>
  <c r="I202" i="18"/>
  <c r="K202" i="18" s="1"/>
  <c r="I203" i="18"/>
  <c r="I204" i="18"/>
  <c r="N204" i="18" s="1"/>
  <c r="I205" i="18"/>
  <c r="N205" i="18" s="1"/>
  <c r="I206" i="18"/>
  <c r="N206" i="18" s="1"/>
  <c r="I207" i="18"/>
  <c r="I208" i="18"/>
  <c r="K208" i="18" s="1"/>
  <c r="I209" i="18"/>
  <c r="N209" i="18" s="1"/>
  <c r="I210" i="18"/>
  <c r="N210" i="18" s="1"/>
  <c r="I211" i="18"/>
  <c r="I212" i="18"/>
  <c r="N212" i="18" s="1"/>
  <c r="I213" i="18"/>
  <c r="I214" i="18"/>
  <c r="N214" i="18" s="1"/>
  <c r="I215" i="18"/>
  <c r="I216" i="18"/>
  <c r="N216" i="18" s="1"/>
  <c r="I217" i="18"/>
  <c r="N217" i="18" s="1"/>
  <c r="I218" i="18"/>
  <c r="K218" i="18" s="1"/>
  <c r="I219" i="18"/>
  <c r="I220" i="18"/>
  <c r="N220" i="18" s="1"/>
  <c r="I221" i="18"/>
  <c r="I222" i="18"/>
  <c r="N222" i="18" s="1"/>
  <c r="I223" i="18"/>
  <c r="I224" i="18"/>
  <c r="N224" i="18" s="1"/>
  <c r="I225" i="18"/>
  <c r="N225" i="18" s="1"/>
  <c r="I226" i="18"/>
  <c r="N226" i="18" s="1"/>
  <c r="I227" i="18"/>
  <c r="I228" i="18"/>
  <c r="N228" i="18" s="1"/>
  <c r="I229" i="18"/>
  <c r="N229" i="18" s="1"/>
  <c r="I230" i="18"/>
  <c r="K230" i="18" s="1"/>
  <c r="I231" i="18"/>
  <c r="I232" i="18"/>
  <c r="N232" i="18" s="1"/>
  <c r="I233" i="18"/>
  <c r="N233" i="18" s="1"/>
  <c r="I234" i="18"/>
  <c r="N234" i="18" s="1"/>
  <c r="I235" i="18"/>
  <c r="I236" i="18"/>
  <c r="N236" i="18" s="1"/>
  <c r="I237" i="18"/>
  <c r="I238" i="18"/>
  <c r="N238" i="18" s="1"/>
  <c r="I239" i="18"/>
  <c r="I240" i="18"/>
  <c r="K240" i="18" s="1"/>
  <c r="I241" i="18"/>
  <c r="I242" i="18"/>
  <c r="N242" i="18" s="1"/>
  <c r="I243" i="18"/>
  <c r="I244" i="18"/>
  <c r="N244" i="18" s="1"/>
  <c r="I245" i="18"/>
  <c r="N245" i="18" s="1"/>
  <c r="I246" i="18"/>
  <c r="K246" i="18" s="1"/>
  <c r="I247" i="18"/>
  <c r="I248" i="18"/>
  <c r="N248" i="18" s="1"/>
  <c r="I249" i="18"/>
  <c r="N249" i="18" s="1"/>
  <c r="I250" i="18"/>
  <c r="K250" i="18" s="1"/>
  <c r="I251" i="18"/>
  <c r="I252" i="18"/>
  <c r="N252" i="18" s="1"/>
  <c r="I253" i="18"/>
  <c r="N253" i="18" s="1"/>
  <c r="I254" i="18"/>
  <c r="N254" i="18" s="1"/>
  <c r="I255" i="18"/>
  <c r="I256" i="18"/>
  <c r="N256" i="18" s="1"/>
  <c r="I257" i="18"/>
  <c r="N257" i="18" s="1"/>
  <c r="I258" i="18"/>
  <c r="N258" i="18" s="1"/>
  <c r="I259" i="18"/>
  <c r="I260" i="18"/>
  <c r="N260" i="18" s="1"/>
  <c r="I261" i="18"/>
  <c r="I262" i="18"/>
  <c r="N262" i="18" s="1"/>
  <c r="I263" i="18"/>
  <c r="I264" i="18"/>
  <c r="N264" i="18" s="1"/>
  <c r="I265" i="18"/>
  <c r="N265" i="18" s="1"/>
  <c r="I266" i="18"/>
  <c r="K266" i="18" s="1"/>
  <c r="I267" i="18"/>
  <c r="I268" i="18"/>
  <c r="K268" i="18" s="1"/>
  <c r="I269" i="18"/>
  <c r="N269" i="18" s="1"/>
  <c r="I270" i="18"/>
  <c r="N270" i="18" s="1"/>
  <c r="I271" i="18"/>
  <c r="I272" i="18"/>
  <c r="N272" i="18" s="1"/>
  <c r="I273" i="18"/>
  <c r="N273" i="18" s="1"/>
  <c r="I274" i="18"/>
  <c r="N274" i="18" s="1"/>
  <c r="I275" i="18"/>
  <c r="I276" i="18"/>
  <c r="N276" i="18" s="1"/>
  <c r="I277" i="18"/>
  <c r="N277" i="18" s="1"/>
  <c r="I278" i="18"/>
  <c r="K278" i="18" s="1"/>
  <c r="I279" i="18"/>
  <c r="I280" i="18"/>
  <c r="N280" i="18" s="1"/>
  <c r="I281" i="18"/>
  <c r="N281" i="18" s="1"/>
  <c r="I282" i="18"/>
  <c r="K282" i="18" s="1"/>
  <c r="I283" i="18"/>
  <c r="I284" i="18"/>
  <c r="N284" i="18" s="1"/>
  <c r="I285" i="18"/>
  <c r="I286" i="18"/>
  <c r="N286" i="18" s="1"/>
  <c r="I287" i="18"/>
  <c r="K287" i="18" s="1"/>
  <c r="I288" i="18"/>
  <c r="N288" i="18" s="1"/>
  <c r="I289" i="18"/>
  <c r="N289" i="18" s="1"/>
  <c r="I290" i="18"/>
  <c r="N290" i="18" s="1"/>
  <c r="I291" i="18"/>
  <c r="K291" i="18" s="1"/>
  <c r="I292" i="18"/>
  <c r="N292" i="18" s="1"/>
  <c r="I293" i="18"/>
  <c r="N293" i="18" s="1"/>
  <c r="I294" i="18"/>
  <c r="N294" i="18" s="1"/>
  <c r="I295" i="18"/>
  <c r="K295" i="18" s="1"/>
  <c r="I296" i="18"/>
  <c r="N296" i="18" s="1"/>
  <c r="I297" i="18"/>
  <c r="N297" i="18" s="1"/>
  <c r="I298" i="18"/>
  <c r="K298" i="18" s="1"/>
  <c r="I299" i="18"/>
  <c r="I300" i="18"/>
  <c r="N300" i="18" s="1"/>
  <c r="I301" i="18"/>
  <c r="N301" i="18" s="1"/>
  <c r="I302" i="18"/>
  <c r="N302" i="18" s="1"/>
  <c r="I303" i="18"/>
  <c r="K303" i="18" s="1"/>
  <c r="I304" i="18"/>
  <c r="N304" i="18" s="1"/>
  <c r="I305" i="18"/>
  <c r="I306" i="18"/>
  <c r="N306" i="18" s="1"/>
  <c r="I307" i="18"/>
  <c r="K307" i="18" s="1"/>
  <c r="I308" i="18"/>
  <c r="N308" i="18" s="1"/>
  <c r="I309" i="18"/>
  <c r="N309" i="18" s="1"/>
  <c r="I310" i="18"/>
  <c r="N310" i="18" s="1"/>
  <c r="I311" i="18"/>
  <c r="K311" i="18" s="1"/>
  <c r="I312" i="18"/>
  <c r="N312" i="18" s="1"/>
  <c r="I313" i="18"/>
  <c r="N313" i="18" s="1"/>
  <c r="I314" i="18"/>
  <c r="K314" i="18" s="1"/>
  <c r="I315" i="18"/>
  <c r="N315" i="18" s="1"/>
  <c r="I316" i="18"/>
  <c r="N316" i="18" s="1"/>
  <c r="I317" i="18"/>
  <c r="N317" i="18" s="1"/>
  <c r="I318" i="18"/>
  <c r="K318" i="18" s="1"/>
  <c r="I319" i="18"/>
  <c r="K319" i="18" s="1"/>
  <c r="I320" i="18"/>
  <c r="N320" i="18" s="1"/>
  <c r="I321" i="18"/>
  <c r="N321" i="18" s="1"/>
  <c r="I322" i="18"/>
  <c r="K322" i="18" s="1"/>
  <c r="I323" i="18"/>
  <c r="N323" i="18" s="1"/>
  <c r="I324" i="18"/>
  <c r="N324" i="18" s="1"/>
  <c r="I325" i="18"/>
  <c r="N325" i="18" s="1"/>
  <c r="I326" i="18"/>
  <c r="N326" i="18" s="1"/>
  <c r="I327" i="18"/>
  <c r="K327" i="18" s="1"/>
  <c r="I328" i="18"/>
  <c r="N328" i="18" s="1"/>
  <c r="I329" i="18"/>
  <c r="N329" i="18" s="1"/>
  <c r="I330" i="18"/>
  <c r="N330" i="18" s="1"/>
  <c r="I331" i="18"/>
  <c r="N331" i="18" s="1"/>
  <c r="I332" i="18"/>
  <c r="N332" i="18" s="1"/>
  <c r="I333" i="18"/>
  <c r="N333" i="18" s="1"/>
  <c r="I334" i="18"/>
  <c r="K334" i="18" s="1"/>
  <c r="I335" i="18"/>
  <c r="K335" i="18" s="1"/>
  <c r="I336" i="18"/>
  <c r="N336" i="18" s="1"/>
  <c r="I337" i="18"/>
  <c r="N337" i="18" s="1"/>
  <c r="I338" i="18"/>
  <c r="N338" i="18" s="1"/>
  <c r="I339" i="18"/>
  <c r="N339" i="18" s="1"/>
  <c r="I340" i="18"/>
  <c r="N340" i="18" s="1"/>
  <c r="I341" i="18"/>
  <c r="N341" i="18" s="1"/>
  <c r="I342" i="18"/>
  <c r="N342" i="18" s="1"/>
  <c r="I343" i="18"/>
  <c r="K343" i="18" s="1"/>
  <c r="I344" i="18"/>
  <c r="N344" i="18" s="1"/>
  <c r="I345" i="18"/>
  <c r="N345" i="18" s="1"/>
  <c r="I346" i="18"/>
  <c r="K346" i="18" s="1"/>
  <c r="I347" i="18"/>
  <c r="N347" i="18" s="1"/>
  <c r="I348" i="18"/>
  <c r="N348" i="18" s="1"/>
  <c r="I349" i="18"/>
  <c r="N349" i="18" s="1"/>
  <c r="I350" i="18"/>
  <c r="K350" i="18" s="1"/>
  <c r="I351" i="18"/>
  <c r="N351" i="18" s="1"/>
  <c r="I352" i="18"/>
  <c r="N352" i="18" s="1"/>
  <c r="I353" i="18"/>
  <c r="N353" i="18" s="1"/>
  <c r="I354" i="18"/>
  <c r="K354" i="18" s="1"/>
  <c r="I355" i="18"/>
  <c r="K355" i="18" s="1"/>
  <c r="I356" i="18"/>
  <c r="N356" i="18" s="1"/>
  <c r="I357" i="18"/>
  <c r="N357" i="18" s="1"/>
  <c r="I358" i="18"/>
  <c r="N358" i="18" s="1"/>
  <c r="I359" i="18"/>
  <c r="N359" i="18" s="1"/>
  <c r="I360" i="18"/>
  <c r="N360" i="18" s="1"/>
  <c r="I361" i="18"/>
  <c r="N361" i="18" s="1"/>
  <c r="I362" i="18"/>
  <c r="K362" i="18" s="1"/>
  <c r="I363" i="18"/>
  <c r="N363" i="18" s="1"/>
  <c r="I5" i="18"/>
  <c r="N5" i="18" s="1"/>
  <c r="H4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5" i="18"/>
  <c r="H377" i="16"/>
  <c r="D377" i="16"/>
  <c r="C377" i="16"/>
  <c r="I15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16" i="16"/>
  <c r="H15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16" i="16"/>
  <c r="G15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16" i="16"/>
  <c r="I377" i="16" l="1"/>
  <c r="N305" i="18"/>
  <c r="K305" i="18"/>
  <c r="N285" i="18"/>
  <c r="K285" i="18"/>
  <c r="N261" i="18"/>
  <c r="K261" i="18"/>
  <c r="N241" i="18"/>
  <c r="K241" i="18"/>
  <c r="N237" i="18"/>
  <c r="K237" i="18"/>
  <c r="P237" i="18" s="1"/>
  <c r="N221" i="18"/>
  <c r="K221" i="18"/>
  <c r="N213" i="18"/>
  <c r="K213" i="18"/>
  <c r="K201" i="18"/>
  <c r="P201" i="18" s="1"/>
  <c r="N201" i="18"/>
  <c r="N197" i="18"/>
  <c r="K197" i="18"/>
  <c r="N193" i="18"/>
  <c r="K193" i="18"/>
  <c r="P193" i="18" s="1"/>
  <c r="N177" i="18"/>
  <c r="K177" i="18"/>
  <c r="N173" i="18"/>
  <c r="K173" i="18"/>
  <c r="K169" i="18"/>
  <c r="P169" i="18" s="1"/>
  <c r="N169" i="18"/>
  <c r="N157" i="18"/>
  <c r="K157" i="18"/>
  <c r="K153" i="18"/>
  <c r="P153" i="18" s="1"/>
  <c r="N153" i="18"/>
  <c r="N149" i="18"/>
  <c r="K149" i="18"/>
  <c r="N129" i="18"/>
  <c r="K129" i="18"/>
  <c r="P129" i="18" s="1"/>
  <c r="N125" i="18"/>
  <c r="K125" i="18"/>
  <c r="N101" i="18"/>
  <c r="K101" i="18"/>
  <c r="N97" i="18"/>
  <c r="K97" i="18"/>
  <c r="N69" i="18"/>
  <c r="K69" i="18"/>
  <c r="P69" i="18" s="1"/>
  <c r="N65" i="18"/>
  <c r="K65" i="18"/>
  <c r="N61" i="18"/>
  <c r="K61" i="18"/>
  <c r="P61" i="18" s="1"/>
  <c r="N57" i="18"/>
  <c r="K57" i="18"/>
  <c r="P57" i="18" s="1"/>
  <c r="N53" i="18"/>
  <c r="K53" i="18"/>
  <c r="P53" i="18" s="1"/>
  <c r="N49" i="18"/>
  <c r="K49" i="18"/>
  <c r="P49" i="18" s="1"/>
  <c r="N45" i="18"/>
  <c r="K45" i="18"/>
  <c r="P45" i="18" s="1"/>
  <c r="N41" i="18"/>
  <c r="K41" i="18"/>
  <c r="P41" i="18" s="1"/>
  <c r="N37" i="18"/>
  <c r="K37" i="18"/>
  <c r="P37" i="18" s="1"/>
  <c r="N33" i="18"/>
  <c r="K33" i="18"/>
  <c r="P33" i="18" s="1"/>
  <c r="N29" i="18"/>
  <c r="K29" i="18"/>
  <c r="P29" i="18" s="1"/>
  <c r="N25" i="18"/>
  <c r="K25" i="18"/>
  <c r="P25" i="18" s="1"/>
  <c r="N21" i="18"/>
  <c r="K21" i="18"/>
  <c r="P21" i="18" s="1"/>
  <c r="N17" i="18"/>
  <c r="K17" i="18"/>
  <c r="P17" i="18" s="1"/>
  <c r="N13" i="18"/>
  <c r="K13" i="18"/>
  <c r="P13" i="18" s="1"/>
  <c r="N9" i="18"/>
  <c r="K9" i="18"/>
  <c r="P9" i="18" s="1"/>
  <c r="I366" i="18"/>
  <c r="N4" i="18"/>
  <c r="K4" i="18"/>
  <c r="P4" i="18" s="1"/>
  <c r="K293" i="18"/>
  <c r="K269" i="18"/>
  <c r="K229" i="18"/>
  <c r="P229" i="18" s="1"/>
  <c r="K189" i="18"/>
  <c r="P189" i="18" s="1"/>
  <c r="K145" i="18"/>
  <c r="K93" i="18"/>
  <c r="P93" i="18" s="1"/>
  <c r="K59" i="18"/>
  <c r="P59" i="18" s="1"/>
  <c r="K51" i="18"/>
  <c r="P51" i="18" s="1"/>
  <c r="K35" i="18"/>
  <c r="P35" i="18" s="1"/>
  <c r="K19" i="18"/>
  <c r="P19" i="18" s="1"/>
  <c r="P268" i="18"/>
  <c r="P240" i="18"/>
  <c r="P208" i="18"/>
  <c r="P172" i="18"/>
  <c r="P160" i="18"/>
  <c r="P144" i="18"/>
  <c r="P140" i="18"/>
  <c r="P132" i="18"/>
  <c r="P124" i="18"/>
  <c r="P116" i="18"/>
  <c r="P112" i="18"/>
  <c r="N60" i="18"/>
  <c r="K60" i="18"/>
  <c r="P60" i="18" s="1"/>
  <c r="N56" i="18"/>
  <c r="K56" i="18"/>
  <c r="P56" i="18" s="1"/>
  <c r="K52" i="18"/>
  <c r="P52" i="18" s="1"/>
  <c r="N52" i="18"/>
  <c r="N48" i="18"/>
  <c r="K48" i="18"/>
  <c r="P48" i="18" s="1"/>
  <c r="N44" i="18"/>
  <c r="K44" i="18"/>
  <c r="P44" i="18" s="1"/>
  <c r="N40" i="18"/>
  <c r="K40" i="18"/>
  <c r="P40" i="18" s="1"/>
  <c r="K36" i="18"/>
  <c r="P36" i="18" s="1"/>
  <c r="N36" i="18"/>
  <c r="N32" i="18"/>
  <c r="K32" i="18"/>
  <c r="P32" i="18" s="1"/>
  <c r="N28" i="18"/>
  <c r="K28" i="18"/>
  <c r="P28" i="18" s="1"/>
  <c r="N24" i="18"/>
  <c r="K24" i="18"/>
  <c r="P24" i="18" s="1"/>
  <c r="K20" i="18"/>
  <c r="P20" i="18" s="1"/>
  <c r="N20" i="18"/>
  <c r="N16" i="18"/>
  <c r="K16" i="18"/>
  <c r="P16" i="18" s="1"/>
  <c r="N12" i="18"/>
  <c r="K12" i="18"/>
  <c r="P12" i="18" s="1"/>
  <c r="N8" i="18"/>
  <c r="K8" i="18"/>
  <c r="P8" i="18" s="1"/>
  <c r="K5" i="18"/>
  <c r="P5" i="18" s="1"/>
  <c r="K289" i="18"/>
  <c r="P289" i="18" s="1"/>
  <c r="K257" i="18"/>
  <c r="P257" i="18" s="1"/>
  <c r="K225" i="18"/>
  <c r="K181" i="18"/>
  <c r="K133" i="18"/>
  <c r="P133" i="18" s="1"/>
  <c r="K81" i="18"/>
  <c r="K58" i="18"/>
  <c r="P58" i="18" s="1"/>
  <c r="K47" i="18"/>
  <c r="P47" i="18" s="1"/>
  <c r="K31" i="18"/>
  <c r="P31" i="18" s="1"/>
  <c r="K15" i="18"/>
  <c r="P15" i="18" s="1"/>
  <c r="P355" i="18"/>
  <c r="P343" i="18"/>
  <c r="P335" i="18"/>
  <c r="P327" i="18"/>
  <c r="P319" i="18"/>
  <c r="K309" i="18"/>
  <c r="K277" i="18"/>
  <c r="K253" i="18"/>
  <c r="P253" i="18" s="1"/>
  <c r="K209" i="18"/>
  <c r="K165" i="18"/>
  <c r="K117" i="18"/>
  <c r="P117" i="18" s="1"/>
  <c r="K63" i="18"/>
  <c r="P63" i="18" s="1"/>
  <c r="K55" i="18"/>
  <c r="P55" i="18" s="1"/>
  <c r="K43" i="18"/>
  <c r="P43" i="18" s="1"/>
  <c r="K27" i="18"/>
  <c r="P27" i="18" s="1"/>
  <c r="K11" i="18"/>
  <c r="P11" i="18" s="1"/>
  <c r="P362" i="18"/>
  <c r="P354" i="18"/>
  <c r="P350" i="18"/>
  <c r="P346" i="18"/>
  <c r="P334" i="18"/>
  <c r="P322" i="18"/>
  <c r="P318" i="18"/>
  <c r="P314" i="18"/>
  <c r="P298" i="18"/>
  <c r="P282" i="18"/>
  <c r="P278" i="18"/>
  <c r="P266" i="18"/>
  <c r="P250" i="18"/>
  <c r="P246" i="18"/>
  <c r="P230" i="18"/>
  <c r="P218" i="18"/>
  <c r="P202" i="18"/>
  <c r="P182" i="18"/>
  <c r="P154" i="18"/>
  <c r="P122" i="18"/>
  <c r="P102" i="18"/>
  <c r="P82" i="18"/>
  <c r="N50" i="18"/>
  <c r="K50" i="18"/>
  <c r="P50" i="18" s="1"/>
  <c r="N46" i="18"/>
  <c r="K46" i="18"/>
  <c r="P46" i="18" s="1"/>
  <c r="N42" i="18"/>
  <c r="K42" i="18"/>
  <c r="P42" i="18" s="1"/>
  <c r="N38" i="18"/>
  <c r="K38" i="18"/>
  <c r="P38" i="18" s="1"/>
  <c r="N34" i="18"/>
  <c r="K34" i="18"/>
  <c r="P34" i="18" s="1"/>
  <c r="N30" i="18"/>
  <c r="K30" i="18"/>
  <c r="P30" i="18" s="1"/>
  <c r="N26" i="18"/>
  <c r="K26" i="18"/>
  <c r="P26" i="18" s="1"/>
  <c r="N22" i="18"/>
  <c r="K22" i="18"/>
  <c r="P22" i="18" s="1"/>
  <c r="N18" i="18"/>
  <c r="K18" i="18"/>
  <c r="P18" i="18" s="1"/>
  <c r="N14" i="18"/>
  <c r="K14" i="18"/>
  <c r="P14" i="18" s="1"/>
  <c r="N10" i="18"/>
  <c r="K10" i="18"/>
  <c r="P10" i="18" s="1"/>
  <c r="N6" i="18"/>
  <c r="K6" i="18"/>
  <c r="P6" i="18" s="1"/>
  <c r="K301" i="18"/>
  <c r="P301" i="18" s="1"/>
  <c r="K273" i="18"/>
  <c r="P273" i="18" s="1"/>
  <c r="K245" i="18"/>
  <c r="K205" i="18"/>
  <c r="P205" i="18" s="1"/>
  <c r="K161" i="18"/>
  <c r="P161" i="18" s="1"/>
  <c r="K109" i="18"/>
  <c r="K62" i="18"/>
  <c r="P62" i="18" s="1"/>
  <c r="K54" i="18"/>
  <c r="P54" i="18" s="1"/>
  <c r="K39" i="18"/>
  <c r="P39" i="18" s="1"/>
  <c r="K23" i="18"/>
  <c r="P23" i="18" s="1"/>
  <c r="K7" i="18"/>
  <c r="P7" i="18" s="1"/>
  <c r="P137" i="18"/>
  <c r="N121" i="18"/>
  <c r="K121" i="18"/>
  <c r="P121" i="18" s="1"/>
  <c r="N105" i="18"/>
  <c r="K105" i="18"/>
  <c r="P105" i="18" s="1"/>
  <c r="N89" i="18"/>
  <c r="K89" i="18"/>
  <c r="P89" i="18" s="1"/>
  <c r="N73" i="18"/>
  <c r="K73" i="18"/>
  <c r="P73" i="18" s="1"/>
  <c r="K361" i="18"/>
  <c r="P361" i="18" s="1"/>
  <c r="K357" i="18"/>
  <c r="P357" i="18" s="1"/>
  <c r="K353" i="18"/>
  <c r="P353" i="18" s="1"/>
  <c r="K349" i="18"/>
  <c r="P349" i="18" s="1"/>
  <c r="K345" i="18"/>
  <c r="P345" i="18" s="1"/>
  <c r="K341" i="18"/>
  <c r="P341" i="18" s="1"/>
  <c r="K337" i="18"/>
  <c r="P337" i="18" s="1"/>
  <c r="K333" i="18"/>
  <c r="P333" i="18" s="1"/>
  <c r="K329" i="18"/>
  <c r="P329" i="18" s="1"/>
  <c r="K325" i="18"/>
  <c r="P325" i="18" s="1"/>
  <c r="K321" i="18"/>
  <c r="P321" i="18" s="1"/>
  <c r="K317" i="18"/>
  <c r="P317" i="18" s="1"/>
  <c r="K313" i="18"/>
  <c r="P313" i="18" s="1"/>
  <c r="K308" i="18"/>
  <c r="P308" i="18" s="1"/>
  <c r="K302" i="18"/>
  <c r="P302" i="18" s="1"/>
  <c r="K297" i="18"/>
  <c r="P297" i="18" s="1"/>
  <c r="K292" i="18"/>
  <c r="P292" i="18" s="1"/>
  <c r="K286" i="18"/>
  <c r="P286" i="18" s="1"/>
  <c r="K281" i="18"/>
  <c r="P281" i="18" s="1"/>
  <c r="K276" i="18"/>
  <c r="P276" i="18" s="1"/>
  <c r="K270" i="18"/>
  <c r="P270" i="18" s="1"/>
  <c r="K265" i="18"/>
  <c r="P265" i="18" s="1"/>
  <c r="K260" i="18"/>
  <c r="P260" i="18" s="1"/>
  <c r="K254" i="18"/>
  <c r="P254" i="18" s="1"/>
  <c r="K249" i="18"/>
  <c r="P249" i="18" s="1"/>
  <c r="K244" i="18"/>
  <c r="P244" i="18" s="1"/>
  <c r="K238" i="18"/>
  <c r="P238" i="18" s="1"/>
  <c r="K233" i="18"/>
  <c r="P233" i="18" s="1"/>
  <c r="K228" i="18"/>
  <c r="P228" i="18" s="1"/>
  <c r="K222" i="18"/>
  <c r="P222" i="18" s="1"/>
  <c r="K217" i="18"/>
  <c r="P217" i="18" s="1"/>
  <c r="K212" i="18"/>
  <c r="P212" i="18" s="1"/>
  <c r="K206" i="18"/>
  <c r="P206" i="18" s="1"/>
  <c r="K196" i="18"/>
  <c r="P196" i="18" s="1"/>
  <c r="K190" i="18"/>
  <c r="P190" i="18" s="1"/>
  <c r="K185" i="18"/>
  <c r="P185" i="18" s="1"/>
  <c r="K180" i="18"/>
  <c r="P180" i="18" s="1"/>
  <c r="K174" i="18"/>
  <c r="P174" i="18" s="1"/>
  <c r="K164" i="18"/>
  <c r="P164" i="18" s="1"/>
  <c r="K158" i="18"/>
  <c r="P158" i="18" s="1"/>
  <c r="K148" i="18"/>
  <c r="P148" i="18" s="1"/>
  <c r="K141" i="18"/>
  <c r="P141" i="18" s="1"/>
  <c r="K134" i="18"/>
  <c r="P134" i="18" s="1"/>
  <c r="K127" i="18"/>
  <c r="P127" i="18" s="1"/>
  <c r="K119" i="18"/>
  <c r="P119" i="18" s="1"/>
  <c r="K113" i="18"/>
  <c r="P113" i="18" s="1"/>
  <c r="K106" i="18"/>
  <c r="P106" i="18" s="1"/>
  <c r="K98" i="18"/>
  <c r="P98" i="18" s="1"/>
  <c r="K91" i="18"/>
  <c r="P91" i="18" s="1"/>
  <c r="K85" i="18"/>
  <c r="P85" i="18" s="1"/>
  <c r="K77" i="18"/>
  <c r="P77" i="18" s="1"/>
  <c r="K70" i="18"/>
  <c r="P70" i="18" s="1"/>
  <c r="N350" i="18"/>
  <c r="N343" i="18"/>
  <c r="N335" i="18"/>
  <c r="N322" i="18"/>
  <c r="N314" i="18"/>
  <c r="N307" i="18"/>
  <c r="N278" i="18"/>
  <c r="N268" i="18"/>
  <c r="N250" i="18"/>
  <c r="N240" i="18"/>
  <c r="N230" i="18"/>
  <c r="N202" i="18"/>
  <c r="N182" i="18"/>
  <c r="N154" i="18"/>
  <c r="N137" i="18"/>
  <c r="N126" i="18"/>
  <c r="N82" i="18"/>
  <c r="N136" i="18"/>
  <c r="K136" i="18"/>
  <c r="P136" i="18" s="1"/>
  <c r="K128" i="18"/>
  <c r="P128" i="18" s="1"/>
  <c r="N128" i="18"/>
  <c r="N120" i="18"/>
  <c r="K120" i="18"/>
  <c r="P120" i="18" s="1"/>
  <c r="N108" i="18"/>
  <c r="K108" i="18"/>
  <c r="P108" i="18" s="1"/>
  <c r="K104" i="18"/>
  <c r="P104" i="18" s="1"/>
  <c r="N104" i="18"/>
  <c r="N100" i="18"/>
  <c r="K100" i="18"/>
  <c r="P100" i="18" s="1"/>
  <c r="N96" i="18"/>
  <c r="K96" i="18"/>
  <c r="P96" i="18" s="1"/>
  <c r="N92" i="18"/>
  <c r="K92" i="18"/>
  <c r="P92" i="18" s="1"/>
  <c r="N88" i="18"/>
  <c r="K88" i="18"/>
  <c r="P88" i="18" s="1"/>
  <c r="N84" i="18"/>
  <c r="K84" i="18"/>
  <c r="P84" i="18" s="1"/>
  <c r="N80" i="18"/>
  <c r="K80" i="18"/>
  <c r="P80" i="18" s="1"/>
  <c r="N76" i="18"/>
  <c r="K76" i="18"/>
  <c r="P76" i="18" s="1"/>
  <c r="N72" i="18"/>
  <c r="K72" i="18"/>
  <c r="P72" i="18" s="1"/>
  <c r="N68" i="18"/>
  <c r="K68" i="18"/>
  <c r="P68" i="18" s="1"/>
  <c r="N64" i="18"/>
  <c r="K64" i="18"/>
  <c r="P64" i="18" s="1"/>
  <c r="K360" i="18"/>
  <c r="P360" i="18" s="1"/>
  <c r="K356" i="18"/>
  <c r="P356" i="18" s="1"/>
  <c r="K352" i="18"/>
  <c r="P352" i="18" s="1"/>
  <c r="K348" i="18"/>
  <c r="P348" i="18" s="1"/>
  <c r="K344" i="18"/>
  <c r="P344" i="18" s="1"/>
  <c r="K340" i="18"/>
  <c r="P340" i="18" s="1"/>
  <c r="K336" i="18"/>
  <c r="P336" i="18" s="1"/>
  <c r="K332" i="18"/>
  <c r="P332" i="18" s="1"/>
  <c r="K328" i="18"/>
  <c r="P328" i="18" s="1"/>
  <c r="K324" i="18"/>
  <c r="P324" i="18" s="1"/>
  <c r="K320" i="18"/>
  <c r="P320" i="18" s="1"/>
  <c r="K316" i="18"/>
  <c r="P316" i="18" s="1"/>
  <c r="K312" i="18"/>
  <c r="P312" i="18" s="1"/>
  <c r="K306" i="18"/>
  <c r="P306" i="18" s="1"/>
  <c r="K296" i="18"/>
  <c r="P296" i="18" s="1"/>
  <c r="K290" i="18"/>
  <c r="P290" i="18" s="1"/>
  <c r="P285" i="18"/>
  <c r="K280" i="18"/>
  <c r="P280" i="18" s="1"/>
  <c r="K274" i="18"/>
  <c r="P274" i="18" s="1"/>
  <c r="P269" i="18"/>
  <c r="K264" i="18"/>
  <c r="P264" i="18" s="1"/>
  <c r="K258" i="18"/>
  <c r="P258" i="18" s="1"/>
  <c r="K248" i="18"/>
  <c r="P248" i="18" s="1"/>
  <c r="K242" i="18"/>
  <c r="P242" i="18" s="1"/>
  <c r="K232" i="18"/>
  <c r="P232" i="18" s="1"/>
  <c r="K226" i="18"/>
  <c r="P226" i="18" s="1"/>
  <c r="P221" i="18"/>
  <c r="K216" i="18"/>
  <c r="P216" i="18" s="1"/>
  <c r="K210" i="18"/>
  <c r="P210" i="18" s="1"/>
  <c r="K200" i="18"/>
  <c r="P200" i="18" s="1"/>
  <c r="K194" i="18"/>
  <c r="P194" i="18" s="1"/>
  <c r="K184" i="18"/>
  <c r="P184" i="18" s="1"/>
  <c r="K178" i="18"/>
  <c r="P178" i="18" s="1"/>
  <c r="P173" i="18"/>
  <c r="K168" i="18"/>
  <c r="P168" i="18" s="1"/>
  <c r="K162" i="18"/>
  <c r="P162" i="18" s="1"/>
  <c r="P157" i="18"/>
  <c r="K152" i="18"/>
  <c r="P152" i="18" s="1"/>
  <c r="K146" i="18"/>
  <c r="P146" i="18" s="1"/>
  <c r="K139" i="18"/>
  <c r="P139" i="18" s="1"/>
  <c r="P125" i="18"/>
  <c r="K118" i="18"/>
  <c r="P118" i="18" s="1"/>
  <c r="K111" i="18"/>
  <c r="P111" i="18" s="1"/>
  <c r="K103" i="18"/>
  <c r="P103" i="18" s="1"/>
  <c r="P97" i="18"/>
  <c r="K90" i="18"/>
  <c r="P90" i="18" s="1"/>
  <c r="K75" i="18"/>
  <c r="P75" i="18" s="1"/>
  <c r="N362" i="18"/>
  <c r="N355" i="18"/>
  <c r="N334" i="18"/>
  <c r="N327" i="18"/>
  <c r="N319" i="18"/>
  <c r="N298" i="18"/>
  <c r="N291" i="18"/>
  <c r="N266" i="18"/>
  <c r="N246" i="18"/>
  <c r="N218" i="18"/>
  <c r="N172" i="18"/>
  <c r="N144" i="18"/>
  <c r="N124" i="18"/>
  <c r="N116" i="18"/>
  <c r="N102" i="18"/>
  <c r="N78" i="18"/>
  <c r="P311" i="18"/>
  <c r="P307" i="18"/>
  <c r="P303" i="18"/>
  <c r="N299" i="18"/>
  <c r="K299" i="18"/>
  <c r="P299" i="18" s="1"/>
  <c r="P295" i="18"/>
  <c r="P291" i="18"/>
  <c r="P287" i="18"/>
  <c r="N283" i="18"/>
  <c r="K283" i="18"/>
  <c r="P283" i="18" s="1"/>
  <c r="N279" i="18"/>
  <c r="K279" i="18"/>
  <c r="P279" i="18" s="1"/>
  <c r="N275" i="18"/>
  <c r="K275" i="18"/>
  <c r="P275" i="18" s="1"/>
  <c r="N271" i="18"/>
  <c r="K271" i="18"/>
  <c r="P271" i="18" s="1"/>
  <c r="N267" i="18"/>
  <c r="K267" i="18"/>
  <c r="P267" i="18" s="1"/>
  <c r="N263" i="18"/>
  <c r="K263" i="18"/>
  <c r="P263" i="18" s="1"/>
  <c r="N259" i="18"/>
  <c r="K259" i="18"/>
  <c r="P259" i="18" s="1"/>
  <c r="N255" i="18"/>
  <c r="K255" i="18"/>
  <c r="P255" i="18" s="1"/>
  <c r="N251" i="18"/>
  <c r="K251" i="18"/>
  <c r="P251" i="18" s="1"/>
  <c r="N247" i="18"/>
  <c r="K247" i="18"/>
  <c r="P247" i="18" s="1"/>
  <c r="N243" i="18"/>
  <c r="K243" i="18"/>
  <c r="P243" i="18" s="1"/>
  <c r="N239" i="18"/>
  <c r="K239" i="18"/>
  <c r="P239" i="18" s="1"/>
  <c r="N235" i="18"/>
  <c r="K235" i="18"/>
  <c r="P235" i="18" s="1"/>
  <c r="N231" i="18"/>
  <c r="K231" i="18"/>
  <c r="P231" i="18" s="1"/>
  <c r="N227" i="18"/>
  <c r="K227" i="18"/>
  <c r="P227" i="18" s="1"/>
  <c r="N223" i="18"/>
  <c r="K223" i="18"/>
  <c r="P223" i="18" s="1"/>
  <c r="N219" i="18"/>
  <c r="K219" i="18"/>
  <c r="P219" i="18" s="1"/>
  <c r="N215" i="18"/>
  <c r="K215" i="18"/>
  <c r="P215" i="18" s="1"/>
  <c r="N211" i="18"/>
  <c r="K211" i="18"/>
  <c r="P211" i="18" s="1"/>
  <c r="N207" i="18"/>
  <c r="K207" i="18"/>
  <c r="P207" i="18" s="1"/>
  <c r="N203" i="18"/>
  <c r="K203" i="18"/>
  <c r="P203" i="18" s="1"/>
  <c r="N199" i="18"/>
  <c r="K199" i="18"/>
  <c r="P199" i="18" s="1"/>
  <c r="N195" i="18"/>
  <c r="K195" i="18"/>
  <c r="P195" i="18" s="1"/>
  <c r="N191" i="18"/>
  <c r="K191" i="18"/>
  <c r="P191" i="18" s="1"/>
  <c r="N187" i="18"/>
  <c r="K187" i="18"/>
  <c r="P187" i="18" s="1"/>
  <c r="N183" i="18"/>
  <c r="K183" i="18"/>
  <c r="P183" i="18" s="1"/>
  <c r="N179" i="18"/>
  <c r="K179" i="18"/>
  <c r="P179" i="18" s="1"/>
  <c r="N175" i="18"/>
  <c r="K175" i="18"/>
  <c r="P175" i="18" s="1"/>
  <c r="N171" i="18"/>
  <c r="K171" i="18"/>
  <c r="P171" i="18" s="1"/>
  <c r="N167" i="18"/>
  <c r="K167" i="18"/>
  <c r="P167" i="18" s="1"/>
  <c r="N163" i="18"/>
  <c r="K163" i="18"/>
  <c r="P163" i="18" s="1"/>
  <c r="N159" i="18"/>
  <c r="K159" i="18"/>
  <c r="P159" i="18" s="1"/>
  <c r="N155" i="18"/>
  <c r="K155" i="18"/>
  <c r="P155" i="18" s="1"/>
  <c r="N151" i="18"/>
  <c r="K151" i="18"/>
  <c r="P151" i="18" s="1"/>
  <c r="N147" i="18"/>
  <c r="K147" i="18"/>
  <c r="P147" i="18" s="1"/>
  <c r="N131" i="18"/>
  <c r="K131" i="18"/>
  <c r="P131" i="18" s="1"/>
  <c r="N115" i="18"/>
  <c r="K115" i="18"/>
  <c r="P115" i="18" s="1"/>
  <c r="N99" i="18"/>
  <c r="K99" i="18"/>
  <c r="P99" i="18" s="1"/>
  <c r="N83" i="18"/>
  <c r="K83" i="18"/>
  <c r="P83" i="18" s="1"/>
  <c r="N67" i="18"/>
  <c r="K67" i="18"/>
  <c r="P67" i="18" s="1"/>
  <c r="K363" i="18"/>
  <c r="P363" i="18" s="1"/>
  <c r="K359" i="18"/>
  <c r="P359" i="18" s="1"/>
  <c r="K351" i="18"/>
  <c r="P351" i="18" s="1"/>
  <c r="K347" i="18"/>
  <c r="P347" i="18" s="1"/>
  <c r="K339" i="18"/>
  <c r="P339" i="18" s="1"/>
  <c r="K331" i="18"/>
  <c r="P331" i="18" s="1"/>
  <c r="K323" i="18"/>
  <c r="P323" i="18" s="1"/>
  <c r="K315" i="18"/>
  <c r="P315" i="18" s="1"/>
  <c r="K310" i="18"/>
  <c r="P310" i="18" s="1"/>
  <c r="P305" i="18"/>
  <c r="K300" i="18"/>
  <c r="P300" i="18" s="1"/>
  <c r="K294" i="18"/>
  <c r="P294" i="18" s="1"/>
  <c r="K284" i="18"/>
  <c r="P284" i="18" s="1"/>
  <c r="K262" i="18"/>
  <c r="P262" i="18" s="1"/>
  <c r="K252" i="18"/>
  <c r="P252" i="18" s="1"/>
  <c r="P241" i="18"/>
  <c r="K236" i="18"/>
  <c r="P236" i="18" s="1"/>
  <c r="P225" i="18"/>
  <c r="K220" i="18"/>
  <c r="P220" i="18" s="1"/>
  <c r="K214" i="18"/>
  <c r="P214" i="18" s="1"/>
  <c r="P209" i="18"/>
  <c r="K204" i="18"/>
  <c r="P204" i="18" s="1"/>
  <c r="K198" i="18"/>
  <c r="P198" i="18" s="1"/>
  <c r="K188" i="18"/>
  <c r="P188" i="18" s="1"/>
  <c r="P177" i="18"/>
  <c r="K166" i="18"/>
  <c r="P166" i="18" s="1"/>
  <c r="K156" i="18"/>
  <c r="P156" i="18" s="1"/>
  <c r="K150" i="18"/>
  <c r="P150" i="18" s="1"/>
  <c r="P145" i="18"/>
  <c r="K138" i="18"/>
  <c r="P138" i="18" s="1"/>
  <c r="K130" i="18"/>
  <c r="P130" i="18" s="1"/>
  <c r="K123" i="18"/>
  <c r="P123" i="18" s="1"/>
  <c r="P109" i="18"/>
  <c r="K95" i="18"/>
  <c r="P95" i="18" s="1"/>
  <c r="K87" i="18"/>
  <c r="P87" i="18" s="1"/>
  <c r="P81" i="18"/>
  <c r="K74" i="18"/>
  <c r="P74" i="18" s="1"/>
  <c r="K66" i="18"/>
  <c r="P66" i="18" s="1"/>
  <c r="N354" i="18"/>
  <c r="N346" i="18"/>
  <c r="N318" i="18"/>
  <c r="N311" i="18"/>
  <c r="N303" i="18"/>
  <c r="N282" i="18"/>
  <c r="N208" i="18"/>
  <c r="N160" i="18"/>
  <c r="N140" i="18"/>
  <c r="N132" i="18"/>
  <c r="N122" i="18"/>
  <c r="N112" i="18"/>
  <c r="N142" i="18"/>
  <c r="K142" i="18"/>
  <c r="P142" i="18" s="1"/>
  <c r="P126" i="18"/>
  <c r="P110" i="18"/>
  <c r="P94" i="18"/>
  <c r="P78" i="18"/>
  <c r="K358" i="18"/>
  <c r="P358" i="18" s="1"/>
  <c r="K342" i="18"/>
  <c r="P342" i="18" s="1"/>
  <c r="K338" i="18"/>
  <c r="P338" i="18" s="1"/>
  <c r="K330" i="18"/>
  <c r="P330" i="18" s="1"/>
  <c r="K326" i="18"/>
  <c r="P326" i="18" s="1"/>
  <c r="P309" i="18"/>
  <c r="K304" i="18"/>
  <c r="P304" i="18" s="1"/>
  <c r="P293" i="18"/>
  <c r="K288" i="18"/>
  <c r="P288" i="18" s="1"/>
  <c r="P277" i="18"/>
  <c r="K272" i="18"/>
  <c r="P272" i="18" s="1"/>
  <c r="P261" i="18"/>
  <c r="K256" i="18"/>
  <c r="P256" i="18" s="1"/>
  <c r="P245" i="18"/>
  <c r="K234" i="18"/>
  <c r="P234" i="18" s="1"/>
  <c r="K224" i="18"/>
  <c r="P224" i="18" s="1"/>
  <c r="P213" i="18"/>
  <c r="P197" i="18"/>
  <c r="K192" i="18"/>
  <c r="P192" i="18" s="1"/>
  <c r="K186" i="18"/>
  <c r="P186" i="18" s="1"/>
  <c r="P181" i="18"/>
  <c r="K176" i="18"/>
  <c r="P176" i="18" s="1"/>
  <c r="K170" i="18"/>
  <c r="P170" i="18" s="1"/>
  <c r="P165" i="18"/>
  <c r="P149" i="18"/>
  <c r="K143" i="18"/>
  <c r="P143" i="18" s="1"/>
  <c r="K135" i="18"/>
  <c r="P135" i="18" s="1"/>
  <c r="K114" i="18"/>
  <c r="P114" i="18" s="1"/>
  <c r="K107" i="18"/>
  <c r="P107" i="18" s="1"/>
  <c r="P101" i="18"/>
  <c r="K86" i="18"/>
  <c r="P86" i="18" s="1"/>
  <c r="K79" i="18"/>
  <c r="P79" i="18" s="1"/>
  <c r="K71" i="18"/>
  <c r="P71" i="18" s="1"/>
  <c r="P65" i="18"/>
  <c r="N295" i="18"/>
  <c r="N287" i="18"/>
  <c r="N110" i="18"/>
  <c r="N94" i="18"/>
  <c r="F376" i="16"/>
  <c r="R363" i="18" l="1"/>
  <c r="C365" i="18"/>
  <c r="C366" i="18" s="1"/>
  <c r="F365" i="18"/>
  <c r="E365" i="18"/>
  <c r="L365" i="18" l="1"/>
  <c r="J365" i="18"/>
  <c r="S10" i="16"/>
  <c r="X12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50" i="16"/>
  <c r="M50" i="16" s="1"/>
  <c r="L51" i="16"/>
  <c r="M51" i="16" s="1"/>
  <c r="L52" i="16"/>
  <c r="M52" i="16" s="1"/>
  <c r="L53" i="16"/>
  <c r="M53" i="16" s="1"/>
  <c r="L54" i="16"/>
  <c r="M54" i="16" s="1"/>
  <c r="L55" i="16"/>
  <c r="M55" i="16" s="1"/>
  <c r="L56" i="16"/>
  <c r="M56" i="16" s="1"/>
  <c r="L57" i="16"/>
  <c r="M57" i="16" s="1"/>
  <c r="L58" i="16"/>
  <c r="M58" i="16" s="1"/>
  <c r="L59" i="16"/>
  <c r="M59" i="16" s="1"/>
  <c r="L60" i="16"/>
  <c r="M60" i="16" s="1"/>
  <c r="L61" i="16"/>
  <c r="M61" i="16" s="1"/>
  <c r="L62" i="16"/>
  <c r="M62" i="16" s="1"/>
  <c r="L63" i="16"/>
  <c r="M63" i="16" s="1"/>
  <c r="L64" i="16"/>
  <c r="M64" i="16" s="1"/>
  <c r="L65" i="16"/>
  <c r="M65" i="16" s="1"/>
  <c r="L66" i="16"/>
  <c r="M66" i="16" s="1"/>
  <c r="L67" i="16"/>
  <c r="M67" i="16" s="1"/>
  <c r="L68" i="16"/>
  <c r="M68" i="16" s="1"/>
  <c r="L69" i="16"/>
  <c r="M69" i="16" s="1"/>
  <c r="L70" i="16"/>
  <c r="M70" i="16" s="1"/>
  <c r="L71" i="16"/>
  <c r="M71" i="16" s="1"/>
  <c r="L72" i="16"/>
  <c r="M72" i="16" s="1"/>
  <c r="L73" i="16"/>
  <c r="M73" i="16" s="1"/>
  <c r="L74" i="16"/>
  <c r="M74" i="16" s="1"/>
  <c r="L75" i="16"/>
  <c r="L76" i="16"/>
  <c r="M76" i="16" s="1"/>
  <c r="L77" i="16"/>
  <c r="M77" i="16" s="1"/>
  <c r="L78" i="16"/>
  <c r="M78" i="16" s="1"/>
  <c r="L79" i="16"/>
  <c r="M79" i="16" s="1"/>
  <c r="L80" i="16"/>
  <c r="M80" i="16" s="1"/>
  <c r="L81" i="16"/>
  <c r="M81" i="16" s="1"/>
  <c r="L82" i="16"/>
  <c r="M82" i="16" s="1"/>
  <c r="L83" i="16"/>
  <c r="M83" i="16" s="1"/>
  <c r="L84" i="16"/>
  <c r="M84" i="16" s="1"/>
  <c r="L85" i="16"/>
  <c r="M85" i="16" s="1"/>
  <c r="L86" i="16"/>
  <c r="M86" i="16" s="1"/>
  <c r="L87" i="16"/>
  <c r="M87" i="16" s="1"/>
  <c r="L88" i="16"/>
  <c r="M88" i="16" s="1"/>
  <c r="L89" i="16"/>
  <c r="M89" i="16" s="1"/>
  <c r="L90" i="16"/>
  <c r="M90" i="16" s="1"/>
  <c r="L91" i="16"/>
  <c r="M91" i="16" s="1"/>
  <c r="L92" i="16"/>
  <c r="M92" i="16" s="1"/>
  <c r="L93" i="16"/>
  <c r="M93" i="16" s="1"/>
  <c r="L94" i="16"/>
  <c r="M94" i="16" s="1"/>
  <c r="L95" i="16"/>
  <c r="M95" i="16" s="1"/>
  <c r="L96" i="16"/>
  <c r="M96" i="16" s="1"/>
  <c r="L97" i="16"/>
  <c r="M97" i="16" s="1"/>
  <c r="L98" i="16"/>
  <c r="M98" i="16" s="1"/>
  <c r="L99" i="16"/>
  <c r="M99" i="16" s="1"/>
  <c r="L100" i="16"/>
  <c r="M100" i="16" s="1"/>
  <c r="L101" i="16"/>
  <c r="M101" i="16" s="1"/>
  <c r="L102" i="16"/>
  <c r="M102" i="16" s="1"/>
  <c r="L103" i="16"/>
  <c r="M103" i="16" s="1"/>
  <c r="L104" i="16"/>
  <c r="M104" i="16" s="1"/>
  <c r="L105" i="16"/>
  <c r="M105" i="16" s="1"/>
  <c r="L106" i="16"/>
  <c r="M106" i="16" s="1"/>
  <c r="L107" i="16"/>
  <c r="M107" i="16" s="1"/>
  <c r="L108" i="16"/>
  <c r="M108" i="16" s="1"/>
  <c r="L109" i="16"/>
  <c r="M109" i="16" s="1"/>
  <c r="L110" i="16"/>
  <c r="M110" i="16" s="1"/>
  <c r="L111" i="16"/>
  <c r="M111" i="16" s="1"/>
  <c r="L112" i="16"/>
  <c r="M112" i="16" s="1"/>
  <c r="L113" i="16"/>
  <c r="M113" i="16" s="1"/>
  <c r="L114" i="16"/>
  <c r="M114" i="16" s="1"/>
  <c r="L115" i="16"/>
  <c r="M115" i="16" s="1"/>
  <c r="L116" i="16"/>
  <c r="M116" i="16" s="1"/>
  <c r="L117" i="16"/>
  <c r="M117" i="16" s="1"/>
  <c r="L118" i="16"/>
  <c r="M118" i="16" s="1"/>
  <c r="L119" i="16"/>
  <c r="M119" i="16" s="1"/>
  <c r="L120" i="16"/>
  <c r="M120" i="16" s="1"/>
  <c r="L121" i="16"/>
  <c r="M121" i="16" s="1"/>
  <c r="L122" i="16"/>
  <c r="M122" i="16" s="1"/>
  <c r="L123" i="16"/>
  <c r="M123" i="16" s="1"/>
  <c r="L124" i="16"/>
  <c r="M124" i="16" s="1"/>
  <c r="L125" i="16"/>
  <c r="M125" i="16" s="1"/>
  <c r="L126" i="16"/>
  <c r="M126" i="16" s="1"/>
  <c r="L127" i="16"/>
  <c r="M127" i="16" s="1"/>
  <c r="L128" i="16"/>
  <c r="M128" i="16" s="1"/>
  <c r="L129" i="16"/>
  <c r="M129" i="16" s="1"/>
  <c r="L130" i="16"/>
  <c r="M130" i="16" s="1"/>
  <c r="L131" i="16"/>
  <c r="M131" i="16" s="1"/>
  <c r="L132" i="16"/>
  <c r="M132" i="16" s="1"/>
  <c r="L133" i="16"/>
  <c r="M133" i="16" s="1"/>
  <c r="L134" i="16"/>
  <c r="M134" i="16" s="1"/>
  <c r="L135" i="16"/>
  <c r="M135" i="16" s="1"/>
  <c r="L136" i="16"/>
  <c r="M136" i="16" s="1"/>
  <c r="L137" i="16"/>
  <c r="M137" i="16" s="1"/>
  <c r="L138" i="16"/>
  <c r="M138" i="16" s="1"/>
  <c r="L139" i="16"/>
  <c r="M139" i="16" s="1"/>
  <c r="L140" i="16"/>
  <c r="M140" i="16" s="1"/>
  <c r="L141" i="16"/>
  <c r="M141" i="16" s="1"/>
  <c r="L142" i="16"/>
  <c r="M142" i="16" s="1"/>
  <c r="L143" i="16"/>
  <c r="M143" i="16" s="1"/>
  <c r="L144" i="16"/>
  <c r="M144" i="16" s="1"/>
  <c r="L145" i="16"/>
  <c r="M145" i="16" s="1"/>
  <c r="L146" i="16"/>
  <c r="M146" i="16" s="1"/>
  <c r="L147" i="16"/>
  <c r="M147" i="16" s="1"/>
  <c r="L148" i="16"/>
  <c r="M148" i="16" s="1"/>
  <c r="L149" i="16"/>
  <c r="M149" i="16" s="1"/>
  <c r="L150" i="16"/>
  <c r="M150" i="16" s="1"/>
  <c r="L151" i="16"/>
  <c r="M151" i="16" s="1"/>
  <c r="L152" i="16"/>
  <c r="M152" i="16" s="1"/>
  <c r="L153" i="16"/>
  <c r="M153" i="16" s="1"/>
  <c r="L154" i="16"/>
  <c r="M154" i="16" s="1"/>
  <c r="L155" i="16"/>
  <c r="M155" i="16" s="1"/>
  <c r="L156" i="16"/>
  <c r="M156" i="16" s="1"/>
  <c r="L157" i="16"/>
  <c r="M157" i="16" s="1"/>
  <c r="L158" i="16"/>
  <c r="M158" i="16" s="1"/>
  <c r="L159" i="16"/>
  <c r="M159" i="16" s="1"/>
  <c r="L160" i="16"/>
  <c r="M160" i="16" s="1"/>
  <c r="L161" i="16"/>
  <c r="M161" i="16" s="1"/>
  <c r="L162" i="16"/>
  <c r="M162" i="16" s="1"/>
  <c r="L163" i="16"/>
  <c r="M163" i="16" s="1"/>
  <c r="L164" i="16"/>
  <c r="M164" i="16" s="1"/>
  <c r="L165" i="16"/>
  <c r="M165" i="16" s="1"/>
  <c r="L166" i="16"/>
  <c r="M166" i="16" s="1"/>
  <c r="L167" i="16"/>
  <c r="M167" i="16" s="1"/>
  <c r="L168" i="16"/>
  <c r="M168" i="16" s="1"/>
  <c r="L169" i="16"/>
  <c r="M169" i="16" s="1"/>
  <c r="L170" i="16"/>
  <c r="M170" i="16" s="1"/>
  <c r="L171" i="16"/>
  <c r="M171" i="16" s="1"/>
  <c r="L172" i="16"/>
  <c r="M172" i="16" s="1"/>
  <c r="L173" i="16"/>
  <c r="M173" i="16" s="1"/>
  <c r="L174" i="16"/>
  <c r="M174" i="16" s="1"/>
  <c r="L175" i="16"/>
  <c r="M175" i="16" s="1"/>
  <c r="L176" i="16"/>
  <c r="M176" i="16" s="1"/>
  <c r="L177" i="16"/>
  <c r="M177" i="16" s="1"/>
  <c r="L178" i="16"/>
  <c r="M178" i="16" s="1"/>
  <c r="L179" i="16"/>
  <c r="M179" i="16" s="1"/>
  <c r="L180" i="16"/>
  <c r="M180" i="16" s="1"/>
  <c r="L181" i="16"/>
  <c r="M181" i="16" s="1"/>
  <c r="L182" i="16"/>
  <c r="M182" i="16" s="1"/>
  <c r="L183" i="16"/>
  <c r="M183" i="16" s="1"/>
  <c r="L184" i="16"/>
  <c r="M184" i="16" s="1"/>
  <c r="L185" i="16"/>
  <c r="M185" i="16" s="1"/>
  <c r="L186" i="16"/>
  <c r="M186" i="16" s="1"/>
  <c r="L187" i="16"/>
  <c r="M187" i="16" s="1"/>
  <c r="L188" i="16"/>
  <c r="M188" i="16" s="1"/>
  <c r="L189" i="16"/>
  <c r="M189" i="16" s="1"/>
  <c r="L190" i="16"/>
  <c r="M190" i="16" s="1"/>
  <c r="L191" i="16"/>
  <c r="M191" i="16" s="1"/>
  <c r="L192" i="16"/>
  <c r="M192" i="16" s="1"/>
  <c r="L193" i="16"/>
  <c r="M193" i="16" s="1"/>
  <c r="L194" i="16"/>
  <c r="M194" i="16" s="1"/>
  <c r="L195" i="16"/>
  <c r="M195" i="16" s="1"/>
  <c r="L196" i="16"/>
  <c r="M196" i="16" s="1"/>
  <c r="L197" i="16"/>
  <c r="M197" i="16" s="1"/>
  <c r="L198" i="16"/>
  <c r="M198" i="16" s="1"/>
  <c r="L199" i="16"/>
  <c r="M199" i="16" s="1"/>
  <c r="L200" i="16"/>
  <c r="M200" i="16" s="1"/>
  <c r="L201" i="16"/>
  <c r="M201" i="16" s="1"/>
  <c r="L202" i="16"/>
  <c r="M202" i="16" s="1"/>
  <c r="L203" i="16"/>
  <c r="M203" i="16" s="1"/>
  <c r="L204" i="16"/>
  <c r="M204" i="16" s="1"/>
  <c r="L205" i="16"/>
  <c r="M205" i="16" s="1"/>
  <c r="L206" i="16"/>
  <c r="M206" i="16" s="1"/>
  <c r="L207" i="16"/>
  <c r="M207" i="16" s="1"/>
  <c r="L208" i="16"/>
  <c r="M208" i="16" s="1"/>
  <c r="L209" i="16"/>
  <c r="M209" i="16" s="1"/>
  <c r="L210" i="16"/>
  <c r="M210" i="16" s="1"/>
  <c r="L211" i="16"/>
  <c r="M211" i="16" s="1"/>
  <c r="L212" i="16"/>
  <c r="M212" i="16" s="1"/>
  <c r="L213" i="16"/>
  <c r="M213" i="16" s="1"/>
  <c r="L214" i="16"/>
  <c r="M214" i="16" s="1"/>
  <c r="L215" i="16"/>
  <c r="M215" i="16" s="1"/>
  <c r="L216" i="16"/>
  <c r="M216" i="16" s="1"/>
  <c r="L217" i="16"/>
  <c r="M217" i="16" s="1"/>
  <c r="L218" i="16"/>
  <c r="M218" i="16" s="1"/>
  <c r="L219" i="16"/>
  <c r="M219" i="16" s="1"/>
  <c r="L220" i="16"/>
  <c r="M220" i="16" s="1"/>
  <c r="L221" i="16"/>
  <c r="M221" i="16" s="1"/>
  <c r="L222" i="16"/>
  <c r="M222" i="16" s="1"/>
  <c r="L223" i="16"/>
  <c r="M223" i="16" s="1"/>
  <c r="L224" i="16"/>
  <c r="M224" i="16" s="1"/>
  <c r="L225" i="16"/>
  <c r="M225" i="16" s="1"/>
  <c r="L226" i="16"/>
  <c r="M226" i="16" s="1"/>
  <c r="L227" i="16"/>
  <c r="M227" i="16" s="1"/>
  <c r="L228" i="16"/>
  <c r="M228" i="16" s="1"/>
  <c r="L229" i="16"/>
  <c r="M229" i="16" s="1"/>
  <c r="L230" i="16"/>
  <c r="M230" i="16" s="1"/>
  <c r="L231" i="16"/>
  <c r="M231" i="16" s="1"/>
  <c r="L232" i="16"/>
  <c r="M232" i="16" s="1"/>
  <c r="L233" i="16"/>
  <c r="M233" i="16" s="1"/>
  <c r="L234" i="16"/>
  <c r="M234" i="16" s="1"/>
  <c r="L235" i="16"/>
  <c r="M235" i="16" s="1"/>
  <c r="L236" i="16"/>
  <c r="M236" i="16" s="1"/>
  <c r="L237" i="16"/>
  <c r="M237" i="16" s="1"/>
  <c r="L238" i="16"/>
  <c r="M238" i="16" s="1"/>
  <c r="L239" i="16"/>
  <c r="M239" i="16" s="1"/>
  <c r="L240" i="16"/>
  <c r="M240" i="16" s="1"/>
  <c r="L241" i="16"/>
  <c r="M241" i="16" s="1"/>
  <c r="L242" i="16"/>
  <c r="M242" i="16" s="1"/>
  <c r="L243" i="16"/>
  <c r="M243" i="16" s="1"/>
  <c r="L244" i="16"/>
  <c r="M244" i="16" s="1"/>
  <c r="L245" i="16"/>
  <c r="M245" i="16" s="1"/>
  <c r="L246" i="16"/>
  <c r="M246" i="16" s="1"/>
  <c r="L247" i="16"/>
  <c r="M247" i="16" s="1"/>
  <c r="L248" i="16"/>
  <c r="M248" i="16" s="1"/>
  <c r="L249" i="16"/>
  <c r="M249" i="16" s="1"/>
  <c r="L250" i="16"/>
  <c r="M250" i="16" s="1"/>
  <c r="L251" i="16"/>
  <c r="M251" i="16" s="1"/>
  <c r="L252" i="16"/>
  <c r="M252" i="16" s="1"/>
  <c r="L253" i="16"/>
  <c r="M253" i="16" s="1"/>
  <c r="L254" i="16"/>
  <c r="M254" i="16" s="1"/>
  <c r="L255" i="16"/>
  <c r="M255" i="16" s="1"/>
  <c r="L256" i="16"/>
  <c r="M256" i="16" s="1"/>
  <c r="L257" i="16"/>
  <c r="M257" i="16" s="1"/>
  <c r="L258" i="16"/>
  <c r="M258" i="16" s="1"/>
  <c r="L259" i="16"/>
  <c r="M259" i="16" s="1"/>
  <c r="L260" i="16"/>
  <c r="M260" i="16" s="1"/>
  <c r="L261" i="16"/>
  <c r="M261" i="16" s="1"/>
  <c r="L262" i="16"/>
  <c r="M262" i="16" s="1"/>
  <c r="L263" i="16"/>
  <c r="M263" i="16" s="1"/>
  <c r="L264" i="16"/>
  <c r="M264" i="16" s="1"/>
  <c r="L265" i="16"/>
  <c r="M265" i="16" s="1"/>
  <c r="L266" i="16"/>
  <c r="M266" i="16" s="1"/>
  <c r="L267" i="16"/>
  <c r="M267" i="16" s="1"/>
  <c r="L268" i="16"/>
  <c r="M268" i="16" s="1"/>
  <c r="L269" i="16"/>
  <c r="M269" i="16" s="1"/>
  <c r="L270" i="16"/>
  <c r="M270" i="16" s="1"/>
  <c r="L271" i="16"/>
  <c r="M271" i="16" s="1"/>
  <c r="L272" i="16"/>
  <c r="M272" i="16" s="1"/>
  <c r="L273" i="16"/>
  <c r="M273" i="16" s="1"/>
  <c r="L274" i="16"/>
  <c r="M274" i="16" s="1"/>
  <c r="L275" i="16"/>
  <c r="M275" i="16" s="1"/>
  <c r="L276" i="16"/>
  <c r="M276" i="16" s="1"/>
  <c r="L277" i="16"/>
  <c r="M277" i="16" s="1"/>
  <c r="L278" i="16"/>
  <c r="M278" i="16" s="1"/>
  <c r="L279" i="16"/>
  <c r="M279" i="16" s="1"/>
  <c r="L280" i="16"/>
  <c r="M280" i="16" s="1"/>
  <c r="L281" i="16"/>
  <c r="M281" i="16" s="1"/>
  <c r="L282" i="16"/>
  <c r="M282" i="16" s="1"/>
  <c r="L283" i="16"/>
  <c r="M283" i="16" s="1"/>
  <c r="L284" i="16"/>
  <c r="M284" i="16" s="1"/>
  <c r="L285" i="16"/>
  <c r="M285" i="16" s="1"/>
  <c r="L286" i="16"/>
  <c r="M286" i="16" s="1"/>
  <c r="L287" i="16"/>
  <c r="M287" i="16" s="1"/>
  <c r="L288" i="16"/>
  <c r="M288" i="16" s="1"/>
  <c r="L289" i="16"/>
  <c r="M289" i="16" s="1"/>
  <c r="L290" i="16"/>
  <c r="M290" i="16" s="1"/>
  <c r="L291" i="16"/>
  <c r="M291" i="16" s="1"/>
  <c r="L292" i="16"/>
  <c r="M292" i="16" s="1"/>
  <c r="L293" i="16"/>
  <c r="M293" i="16" s="1"/>
  <c r="L294" i="16"/>
  <c r="M294" i="16" s="1"/>
  <c r="L295" i="16"/>
  <c r="M295" i="16" s="1"/>
  <c r="L296" i="16"/>
  <c r="M296" i="16" s="1"/>
  <c r="L297" i="16"/>
  <c r="M297" i="16" s="1"/>
  <c r="L298" i="16"/>
  <c r="M298" i="16" s="1"/>
  <c r="L299" i="16"/>
  <c r="M299" i="16" s="1"/>
  <c r="L300" i="16"/>
  <c r="M300" i="16" s="1"/>
  <c r="L301" i="16"/>
  <c r="M301" i="16" s="1"/>
  <c r="L302" i="16"/>
  <c r="M302" i="16" s="1"/>
  <c r="L303" i="16"/>
  <c r="M303" i="16" s="1"/>
  <c r="L304" i="16"/>
  <c r="M304" i="16" s="1"/>
  <c r="L305" i="16"/>
  <c r="M305" i="16" s="1"/>
  <c r="L306" i="16"/>
  <c r="M306" i="16" s="1"/>
  <c r="L307" i="16"/>
  <c r="M307" i="16" s="1"/>
  <c r="L308" i="16"/>
  <c r="M308" i="16" s="1"/>
  <c r="L309" i="16"/>
  <c r="M309" i="16" s="1"/>
  <c r="L310" i="16"/>
  <c r="M310" i="16" s="1"/>
  <c r="L311" i="16"/>
  <c r="M311" i="16" s="1"/>
  <c r="L312" i="16"/>
  <c r="M312" i="16" s="1"/>
  <c r="L313" i="16"/>
  <c r="M313" i="16" s="1"/>
  <c r="L314" i="16"/>
  <c r="M314" i="16" s="1"/>
  <c r="L315" i="16"/>
  <c r="M315" i="16" s="1"/>
  <c r="L316" i="16"/>
  <c r="M316" i="16" s="1"/>
  <c r="L317" i="16"/>
  <c r="M317" i="16" s="1"/>
  <c r="L318" i="16"/>
  <c r="M318" i="16" s="1"/>
  <c r="L319" i="16"/>
  <c r="M319" i="16" s="1"/>
  <c r="L320" i="16"/>
  <c r="M320" i="16" s="1"/>
  <c r="L321" i="16"/>
  <c r="M321" i="16" s="1"/>
  <c r="L322" i="16"/>
  <c r="M322" i="16" s="1"/>
  <c r="L323" i="16"/>
  <c r="M323" i="16" s="1"/>
  <c r="L324" i="16"/>
  <c r="M324" i="16" s="1"/>
  <c r="L325" i="16"/>
  <c r="M325" i="16" s="1"/>
  <c r="L326" i="16"/>
  <c r="M326" i="16" s="1"/>
  <c r="L327" i="16"/>
  <c r="M327" i="16" s="1"/>
  <c r="L328" i="16"/>
  <c r="M328" i="16" s="1"/>
  <c r="L329" i="16"/>
  <c r="M329" i="16" s="1"/>
  <c r="L330" i="16"/>
  <c r="M330" i="16" s="1"/>
  <c r="L331" i="16"/>
  <c r="M331" i="16" s="1"/>
  <c r="L332" i="16"/>
  <c r="M332" i="16" s="1"/>
  <c r="L333" i="16"/>
  <c r="M333" i="16" s="1"/>
  <c r="L334" i="16"/>
  <c r="M334" i="16" s="1"/>
  <c r="L335" i="16"/>
  <c r="M335" i="16" s="1"/>
  <c r="L336" i="16"/>
  <c r="M336" i="16" s="1"/>
  <c r="L337" i="16"/>
  <c r="M337" i="16" s="1"/>
  <c r="L338" i="16"/>
  <c r="M338" i="16" s="1"/>
  <c r="L339" i="16"/>
  <c r="M339" i="16" s="1"/>
  <c r="L340" i="16"/>
  <c r="M340" i="16" s="1"/>
  <c r="L341" i="16"/>
  <c r="M341" i="16" s="1"/>
  <c r="L342" i="16"/>
  <c r="M342" i="16" s="1"/>
  <c r="L343" i="16"/>
  <c r="M343" i="16" s="1"/>
  <c r="L344" i="16"/>
  <c r="M344" i="16" s="1"/>
  <c r="L345" i="16"/>
  <c r="M345" i="16" s="1"/>
  <c r="L346" i="16"/>
  <c r="M346" i="16" s="1"/>
  <c r="L347" i="16"/>
  <c r="M347" i="16" s="1"/>
  <c r="L348" i="16"/>
  <c r="M348" i="16" s="1"/>
  <c r="L349" i="16"/>
  <c r="M349" i="16" s="1"/>
  <c r="L350" i="16"/>
  <c r="M350" i="16" s="1"/>
  <c r="L351" i="16"/>
  <c r="M351" i="16" s="1"/>
  <c r="L352" i="16"/>
  <c r="M352" i="16" s="1"/>
  <c r="L353" i="16"/>
  <c r="M353" i="16" s="1"/>
  <c r="L354" i="16"/>
  <c r="M354" i="16" s="1"/>
  <c r="L355" i="16"/>
  <c r="M355" i="16" s="1"/>
  <c r="L356" i="16"/>
  <c r="M356" i="16" s="1"/>
  <c r="L357" i="16"/>
  <c r="M357" i="16" s="1"/>
  <c r="L358" i="16"/>
  <c r="M358" i="16" s="1"/>
  <c r="L359" i="16"/>
  <c r="M359" i="16" s="1"/>
  <c r="L360" i="16"/>
  <c r="M360" i="16" s="1"/>
  <c r="L361" i="16"/>
  <c r="M361" i="16" s="1"/>
  <c r="L362" i="16"/>
  <c r="M362" i="16" s="1"/>
  <c r="L363" i="16"/>
  <c r="M363" i="16" s="1"/>
  <c r="L364" i="16"/>
  <c r="M364" i="16" s="1"/>
  <c r="L365" i="16"/>
  <c r="M365" i="16" s="1"/>
  <c r="L366" i="16"/>
  <c r="M366" i="16" s="1"/>
  <c r="L367" i="16"/>
  <c r="M367" i="16" s="1"/>
  <c r="L368" i="16"/>
  <c r="M368" i="16" s="1"/>
  <c r="L369" i="16"/>
  <c r="M369" i="16" s="1"/>
  <c r="L370" i="16"/>
  <c r="M370" i="16" s="1"/>
  <c r="L371" i="16"/>
  <c r="M371" i="16" s="1"/>
  <c r="L372" i="16"/>
  <c r="M372" i="16" s="1"/>
  <c r="L373" i="16"/>
  <c r="M373" i="16" s="1"/>
  <c r="L374" i="16"/>
  <c r="M374" i="16" s="1"/>
  <c r="L16" i="16"/>
  <c r="M16" i="16" s="1"/>
  <c r="L15" i="16"/>
  <c r="M15" i="16" s="1"/>
  <c r="M75" i="16" l="1"/>
  <c r="M376" i="16" s="1"/>
  <c r="L376" i="16"/>
  <c r="R15" i="16"/>
  <c r="O15" i="16"/>
  <c r="O16" i="16" s="1"/>
  <c r="S16" i="16" s="1"/>
  <c r="P16" i="16" l="1"/>
  <c r="Q16" i="16" s="1"/>
  <c r="O17" i="16"/>
  <c r="S17" i="16" s="1"/>
  <c r="P15" i="16"/>
  <c r="S15" i="16"/>
  <c r="O18" i="16" l="1"/>
  <c r="S18" i="16" s="1"/>
  <c r="P17" i="16"/>
  <c r="Q17" i="16" s="1"/>
  <c r="O19" i="16" l="1"/>
  <c r="S19" i="16" s="1"/>
  <c r="P18" i="16"/>
  <c r="Q18" i="16" s="1"/>
  <c r="P19" i="16" l="1"/>
  <c r="Q19" i="16" s="1"/>
  <c r="O20" i="16"/>
  <c r="S20" i="16" s="1"/>
  <c r="P20" i="16" l="1"/>
  <c r="Q20" i="16" s="1"/>
  <c r="O21" i="16"/>
  <c r="S21" i="16" s="1"/>
  <c r="P21" i="16" l="1"/>
  <c r="Q21" i="16" s="1"/>
  <c r="O22" i="16"/>
  <c r="S22" i="16" s="1"/>
  <c r="P22" i="16" l="1"/>
  <c r="Q22" i="16" s="1"/>
  <c r="O23" i="16"/>
  <c r="S23" i="16" s="1"/>
  <c r="P23" i="16" l="1"/>
  <c r="Q23" i="16" s="1"/>
  <c r="O24" i="16"/>
  <c r="S24" i="16" s="1"/>
  <c r="P24" i="16" l="1"/>
  <c r="Q24" i="16" s="1"/>
  <c r="O25" i="16"/>
  <c r="S25" i="16" s="1"/>
  <c r="P25" i="16" l="1"/>
  <c r="Q25" i="16" s="1"/>
  <c r="O26" i="16"/>
  <c r="S26" i="16" s="1"/>
  <c r="P26" i="16" l="1"/>
  <c r="Q26" i="16" s="1"/>
  <c r="O27" i="16"/>
  <c r="S27" i="16" s="1"/>
  <c r="P27" i="16" l="1"/>
  <c r="Q27" i="16" s="1"/>
  <c r="O28" i="16"/>
  <c r="S28" i="16" s="1"/>
  <c r="P28" i="16" l="1"/>
  <c r="Q28" i="16" s="1"/>
  <c r="O29" i="16"/>
  <c r="S29" i="16" s="1"/>
  <c r="P29" i="16" l="1"/>
  <c r="Q29" i="16" s="1"/>
  <c r="O30" i="16"/>
  <c r="S30" i="16" s="1"/>
  <c r="P30" i="16" l="1"/>
  <c r="Q30" i="16" s="1"/>
  <c r="O31" i="16"/>
  <c r="S31" i="16" s="1"/>
  <c r="P31" i="16" l="1"/>
  <c r="O32" i="16"/>
  <c r="S32" i="16" s="1"/>
  <c r="V31" i="16" l="1"/>
  <c r="Q31" i="16"/>
  <c r="P32" i="16"/>
  <c r="O33" i="16"/>
  <c r="S33" i="16" s="1"/>
  <c r="V32" i="16" l="1"/>
  <c r="Q32" i="16"/>
  <c r="P33" i="16"/>
  <c r="O34" i="16"/>
  <c r="S34" i="16" s="1"/>
  <c r="V33" i="16" l="1"/>
  <c r="Q33" i="16"/>
  <c r="P34" i="16"/>
  <c r="O35" i="16"/>
  <c r="S35" i="16" s="1"/>
  <c r="V34" i="16" l="1"/>
  <c r="Q34" i="16"/>
  <c r="V35" i="16"/>
  <c r="P35" i="16"/>
  <c r="Q35" i="16" s="1"/>
  <c r="O36" i="16"/>
  <c r="S36" i="16" s="1"/>
  <c r="P36" i="16" l="1"/>
  <c r="O37" i="16"/>
  <c r="S37" i="16" s="1"/>
  <c r="V36" i="16" l="1"/>
  <c r="Q36" i="16"/>
  <c r="P37" i="16"/>
  <c r="O38" i="16"/>
  <c r="S38" i="16" s="1"/>
  <c r="V37" i="16" l="1"/>
  <c r="Q37" i="16"/>
  <c r="P38" i="16"/>
  <c r="O39" i="16"/>
  <c r="S39" i="16" s="1"/>
  <c r="V38" i="16" l="1"/>
  <c r="Q38" i="16"/>
  <c r="P39" i="16"/>
  <c r="O40" i="16"/>
  <c r="S40" i="16" s="1"/>
  <c r="V39" i="16" l="1"/>
  <c r="Q39" i="16"/>
  <c r="V40" i="16"/>
  <c r="P40" i="16"/>
  <c r="Q40" i="16" s="1"/>
  <c r="O41" i="16"/>
  <c r="S41" i="16" s="1"/>
  <c r="T40" i="16" l="1"/>
  <c r="U40" i="16"/>
  <c r="W40" i="16" s="1"/>
  <c r="V41" i="16"/>
  <c r="P41" i="16"/>
  <c r="Q41" i="16" s="1"/>
  <c r="O42" i="16"/>
  <c r="S42" i="16" s="1"/>
  <c r="P42" i="16" l="1"/>
  <c r="Q42" i="16" s="1"/>
  <c r="V42" i="16"/>
  <c r="O43" i="16"/>
  <c r="S43" i="16" s="1"/>
  <c r="T41" i="16"/>
  <c r="U41" i="16"/>
  <c r="W41" i="16" s="1"/>
  <c r="V43" i="16" l="1"/>
  <c r="P43" i="16"/>
  <c r="Q43" i="16" s="1"/>
  <c r="O44" i="16"/>
  <c r="S44" i="16" s="1"/>
  <c r="T42" i="16"/>
  <c r="U42" i="16"/>
  <c r="W42" i="16" s="1"/>
  <c r="V44" i="16" l="1"/>
  <c r="P44" i="16"/>
  <c r="Q44" i="16" s="1"/>
  <c r="O45" i="16"/>
  <c r="S45" i="16" s="1"/>
  <c r="T43" i="16"/>
  <c r="U43" i="16"/>
  <c r="W43" i="16" s="1"/>
  <c r="V45" i="16" l="1"/>
  <c r="P45" i="16"/>
  <c r="Q45" i="16" s="1"/>
  <c r="O46" i="16"/>
  <c r="S46" i="16" s="1"/>
  <c r="T44" i="16"/>
  <c r="U44" i="16"/>
  <c r="W44" i="16" s="1"/>
  <c r="V46" i="16" l="1"/>
  <c r="P46" i="16"/>
  <c r="Q46" i="16" s="1"/>
  <c r="O47" i="16"/>
  <c r="S47" i="16" s="1"/>
  <c r="T45" i="16"/>
  <c r="U45" i="16"/>
  <c r="W45" i="16" s="1"/>
  <c r="T46" i="16" l="1"/>
  <c r="U46" i="16"/>
  <c r="W46" i="16" s="1"/>
  <c r="V47" i="16"/>
  <c r="P47" i="16"/>
  <c r="Q47" i="16" s="1"/>
  <c r="O48" i="16"/>
  <c r="S48" i="16" s="1"/>
  <c r="V48" i="16" l="1"/>
  <c r="P48" i="16"/>
  <c r="Q48" i="16" s="1"/>
  <c r="O49" i="16"/>
  <c r="S49" i="16" s="1"/>
  <c r="T47" i="16"/>
  <c r="U47" i="16"/>
  <c r="W47" i="16" s="1"/>
  <c r="V49" i="16" l="1"/>
  <c r="P49" i="16"/>
  <c r="Q49" i="16" s="1"/>
  <c r="O50" i="16"/>
  <c r="S50" i="16" s="1"/>
  <c r="T48" i="16"/>
  <c r="U48" i="16"/>
  <c r="W48" i="16" s="1"/>
  <c r="V50" i="16" l="1"/>
  <c r="P50" i="16"/>
  <c r="Q50" i="16" s="1"/>
  <c r="O51" i="16"/>
  <c r="S51" i="16" s="1"/>
  <c r="T49" i="16"/>
  <c r="U49" i="16"/>
  <c r="W49" i="16" s="1"/>
  <c r="T50" i="16" l="1"/>
  <c r="U50" i="16"/>
  <c r="W50" i="16" s="1"/>
  <c r="V51" i="16"/>
  <c r="P51" i="16"/>
  <c r="Q51" i="16" s="1"/>
  <c r="O52" i="16"/>
  <c r="S52" i="16" s="1"/>
  <c r="V52" i="16" l="1"/>
  <c r="P52" i="16"/>
  <c r="Q52" i="16" s="1"/>
  <c r="O53" i="16"/>
  <c r="S53" i="16" s="1"/>
  <c r="T51" i="16"/>
  <c r="U51" i="16"/>
  <c r="W51" i="16" s="1"/>
  <c r="V53" i="16" l="1"/>
  <c r="P53" i="16"/>
  <c r="Q53" i="16" s="1"/>
  <c r="O54" i="16"/>
  <c r="S54" i="16" s="1"/>
  <c r="T52" i="16"/>
  <c r="U52" i="16"/>
  <c r="W52" i="16" s="1"/>
  <c r="V54" i="16" l="1"/>
  <c r="P54" i="16"/>
  <c r="Q54" i="16" s="1"/>
  <c r="O55" i="16"/>
  <c r="S55" i="16" s="1"/>
  <c r="T53" i="16"/>
  <c r="U53" i="16"/>
  <c r="W53" i="16" s="1"/>
  <c r="V55" i="16" l="1"/>
  <c r="P55" i="16"/>
  <c r="Q55" i="16" s="1"/>
  <c r="O56" i="16"/>
  <c r="S56" i="16" s="1"/>
  <c r="T54" i="16"/>
  <c r="U54" i="16"/>
  <c r="W54" i="16" s="1"/>
  <c r="V56" i="16" l="1"/>
  <c r="P56" i="16"/>
  <c r="Q56" i="16" s="1"/>
  <c r="O57" i="16"/>
  <c r="S57" i="16" s="1"/>
  <c r="T55" i="16"/>
  <c r="U55" i="16"/>
  <c r="W55" i="16" s="1"/>
  <c r="V57" i="16" l="1"/>
  <c r="P57" i="16"/>
  <c r="Q57" i="16" s="1"/>
  <c r="O58" i="16"/>
  <c r="S58" i="16" s="1"/>
  <c r="T56" i="16"/>
  <c r="U56" i="16"/>
  <c r="W56" i="16" s="1"/>
  <c r="V58" i="16" l="1"/>
  <c r="P58" i="16"/>
  <c r="Q58" i="16" s="1"/>
  <c r="O59" i="16"/>
  <c r="S59" i="16" s="1"/>
  <c r="T57" i="16"/>
  <c r="U57" i="16"/>
  <c r="W57" i="16" s="1"/>
  <c r="V59" i="16" l="1"/>
  <c r="P59" i="16"/>
  <c r="Q59" i="16" s="1"/>
  <c r="O60" i="16"/>
  <c r="S60" i="16" s="1"/>
  <c r="T58" i="16"/>
  <c r="U58" i="16"/>
  <c r="W58" i="16" s="1"/>
  <c r="V60" i="16" l="1"/>
  <c r="P60" i="16"/>
  <c r="Q60" i="16" s="1"/>
  <c r="O61" i="16"/>
  <c r="S61" i="16" s="1"/>
  <c r="T59" i="16"/>
  <c r="U59" i="16"/>
  <c r="W59" i="16" s="1"/>
  <c r="V61" i="16" l="1"/>
  <c r="P61" i="16"/>
  <c r="Q61" i="16" s="1"/>
  <c r="O62" i="16"/>
  <c r="S62" i="16" s="1"/>
  <c r="T60" i="16"/>
  <c r="U60" i="16"/>
  <c r="W60" i="16" s="1"/>
  <c r="V62" i="16" l="1"/>
  <c r="P62" i="16"/>
  <c r="Q62" i="16" s="1"/>
  <c r="O63" i="16"/>
  <c r="S63" i="16" s="1"/>
  <c r="T61" i="16"/>
  <c r="U61" i="16"/>
  <c r="W61" i="16" s="1"/>
  <c r="V63" i="16" l="1"/>
  <c r="P63" i="16"/>
  <c r="Q63" i="16" s="1"/>
  <c r="O64" i="16"/>
  <c r="S64" i="16" s="1"/>
  <c r="T62" i="16"/>
  <c r="U62" i="16"/>
  <c r="W62" i="16" s="1"/>
  <c r="V64" i="16" l="1"/>
  <c r="P64" i="16"/>
  <c r="Q64" i="16" s="1"/>
  <c r="O65" i="16"/>
  <c r="S65" i="16" s="1"/>
  <c r="T63" i="16"/>
  <c r="U63" i="16"/>
  <c r="W63" i="16" s="1"/>
  <c r="V65" i="16" l="1"/>
  <c r="P65" i="16"/>
  <c r="Q65" i="16" s="1"/>
  <c r="O66" i="16"/>
  <c r="S66" i="16" s="1"/>
  <c r="T64" i="16"/>
  <c r="U64" i="16"/>
  <c r="W64" i="16" s="1"/>
  <c r="V66" i="16" l="1"/>
  <c r="P66" i="16"/>
  <c r="Q66" i="16" s="1"/>
  <c r="O67" i="16"/>
  <c r="S67" i="16" s="1"/>
  <c r="T65" i="16"/>
  <c r="U65" i="16"/>
  <c r="W65" i="16" s="1"/>
  <c r="V67" i="16" l="1"/>
  <c r="P67" i="16"/>
  <c r="Q67" i="16" s="1"/>
  <c r="O68" i="16"/>
  <c r="S68" i="16" s="1"/>
  <c r="T66" i="16"/>
  <c r="U66" i="16"/>
  <c r="W66" i="16" s="1"/>
  <c r="V68" i="16" l="1"/>
  <c r="P68" i="16"/>
  <c r="Q68" i="16" s="1"/>
  <c r="O69" i="16"/>
  <c r="S69" i="16" s="1"/>
  <c r="T67" i="16"/>
  <c r="U67" i="16"/>
  <c r="W67" i="16" s="1"/>
  <c r="V69" i="16" l="1"/>
  <c r="P69" i="16"/>
  <c r="Q69" i="16" s="1"/>
  <c r="O70" i="16"/>
  <c r="S70" i="16" s="1"/>
  <c r="T68" i="16"/>
  <c r="U68" i="16"/>
  <c r="W68" i="16" s="1"/>
  <c r="V70" i="16" l="1"/>
  <c r="P70" i="16"/>
  <c r="Q70" i="16" s="1"/>
  <c r="O71" i="16"/>
  <c r="S71" i="16" s="1"/>
  <c r="T69" i="16"/>
  <c r="U69" i="16"/>
  <c r="W69" i="16" s="1"/>
  <c r="V71" i="16" l="1"/>
  <c r="P71" i="16"/>
  <c r="Q71" i="16" s="1"/>
  <c r="O72" i="16"/>
  <c r="S72" i="16" s="1"/>
  <c r="T70" i="16"/>
  <c r="U70" i="16"/>
  <c r="W70" i="16" s="1"/>
  <c r="V72" i="16" l="1"/>
  <c r="P72" i="16"/>
  <c r="Q72" i="16" s="1"/>
  <c r="O73" i="16"/>
  <c r="S73" i="16" s="1"/>
  <c r="T71" i="16"/>
  <c r="U71" i="16"/>
  <c r="W71" i="16" s="1"/>
  <c r="V73" i="16" l="1"/>
  <c r="P73" i="16"/>
  <c r="Q73" i="16" s="1"/>
  <c r="O74" i="16"/>
  <c r="S74" i="16" s="1"/>
  <c r="T72" i="16"/>
  <c r="U72" i="16"/>
  <c r="W72" i="16" s="1"/>
  <c r="P74" i="16" l="1"/>
  <c r="Q74" i="16" s="1"/>
  <c r="V74" i="16"/>
  <c r="O75" i="16"/>
  <c r="S75" i="16" s="1"/>
  <c r="T73" i="16"/>
  <c r="U73" i="16"/>
  <c r="W73" i="16" s="1"/>
  <c r="V75" i="16" l="1"/>
  <c r="P75" i="16"/>
  <c r="Q75" i="16" s="1"/>
  <c r="O76" i="16"/>
  <c r="S76" i="16" s="1"/>
  <c r="T74" i="16"/>
  <c r="U74" i="16"/>
  <c r="W74" i="16" s="1"/>
  <c r="V76" i="16" l="1"/>
  <c r="P76" i="16"/>
  <c r="Q76" i="16" s="1"/>
  <c r="O77" i="16"/>
  <c r="S77" i="16" s="1"/>
  <c r="T75" i="16"/>
  <c r="U75" i="16"/>
  <c r="W75" i="16" s="1"/>
  <c r="V77" i="16" l="1"/>
  <c r="P77" i="16"/>
  <c r="Q77" i="16" s="1"/>
  <c r="O78" i="16"/>
  <c r="S78" i="16" s="1"/>
  <c r="T76" i="16"/>
  <c r="U76" i="16"/>
  <c r="W76" i="16" s="1"/>
  <c r="V78" i="16" l="1"/>
  <c r="P78" i="16"/>
  <c r="Q78" i="16" s="1"/>
  <c r="O79" i="16"/>
  <c r="S79" i="16" s="1"/>
  <c r="T77" i="16"/>
  <c r="U77" i="16"/>
  <c r="W77" i="16" s="1"/>
  <c r="V79" i="16" l="1"/>
  <c r="P79" i="16"/>
  <c r="Q79" i="16" s="1"/>
  <c r="O80" i="16"/>
  <c r="S80" i="16" s="1"/>
  <c r="T78" i="16"/>
  <c r="U78" i="16"/>
  <c r="W78" i="16" s="1"/>
  <c r="V80" i="16" l="1"/>
  <c r="P80" i="16"/>
  <c r="Q80" i="16" s="1"/>
  <c r="O81" i="16"/>
  <c r="S81" i="16" s="1"/>
  <c r="T79" i="16"/>
  <c r="U79" i="16"/>
  <c r="W79" i="16" s="1"/>
  <c r="V81" i="16" l="1"/>
  <c r="P81" i="16"/>
  <c r="Q81" i="16" s="1"/>
  <c r="O82" i="16"/>
  <c r="S82" i="16" s="1"/>
  <c r="T80" i="16"/>
  <c r="U80" i="16"/>
  <c r="W80" i="16" s="1"/>
  <c r="V82" i="16" l="1"/>
  <c r="P82" i="16"/>
  <c r="Q82" i="16" s="1"/>
  <c r="O83" i="16"/>
  <c r="S83" i="16" s="1"/>
  <c r="T81" i="16"/>
  <c r="U81" i="16"/>
  <c r="W81" i="16" s="1"/>
  <c r="V83" i="16" l="1"/>
  <c r="P83" i="16"/>
  <c r="Q83" i="16" s="1"/>
  <c r="O84" i="16"/>
  <c r="S84" i="16" s="1"/>
  <c r="T82" i="16"/>
  <c r="U82" i="16"/>
  <c r="W82" i="16" s="1"/>
  <c r="V84" i="16" l="1"/>
  <c r="P84" i="16"/>
  <c r="Q84" i="16" s="1"/>
  <c r="O85" i="16"/>
  <c r="S85" i="16" s="1"/>
  <c r="T83" i="16"/>
  <c r="U83" i="16"/>
  <c r="W83" i="16" s="1"/>
  <c r="V85" i="16" l="1"/>
  <c r="P85" i="16"/>
  <c r="Q85" i="16" s="1"/>
  <c r="O86" i="16"/>
  <c r="S86" i="16" s="1"/>
  <c r="T84" i="16"/>
  <c r="U84" i="16"/>
  <c r="W84" i="16" s="1"/>
  <c r="V86" i="16" l="1"/>
  <c r="P86" i="16"/>
  <c r="Q86" i="16" s="1"/>
  <c r="O87" i="16"/>
  <c r="S87" i="16" s="1"/>
  <c r="T85" i="16"/>
  <c r="U85" i="16"/>
  <c r="W85" i="16" s="1"/>
  <c r="V87" i="16" l="1"/>
  <c r="P87" i="16"/>
  <c r="Q87" i="16" s="1"/>
  <c r="O88" i="16"/>
  <c r="S88" i="16" s="1"/>
  <c r="T86" i="16"/>
  <c r="U86" i="16"/>
  <c r="W86" i="16" s="1"/>
  <c r="V88" i="16" l="1"/>
  <c r="P88" i="16"/>
  <c r="Q88" i="16" s="1"/>
  <c r="O89" i="16"/>
  <c r="S89" i="16" s="1"/>
  <c r="T87" i="16"/>
  <c r="U87" i="16"/>
  <c r="W87" i="16" s="1"/>
  <c r="V89" i="16" l="1"/>
  <c r="P89" i="16"/>
  <c r="Q89" i="16" s="1"/>
  <c r="O90" i="16"/>
  <c r="S90" i="16" s="1"/>
  <c r="T88" i="16"/>
  <c r="U88" i="16"/>
  <c r="W88" i="16" s="1"/>
  <c r="V90" i="16" l="1"/>
  <c r="P90" i="16"/>
  <c r="Q90" i="16" s="1"/>
  <c r="O91" i="16"/>
  <c r="S91" i="16" s="1"/>
  <c r="T89" i="16"/>
  <c r="U89" i="16"/>
  <c r="W89" i="16" s="1"/>
  <c r="V91" i="16" l="1"/>
  <c r="P91" i="16"/>
  <c r="Q91" i="16" s="1"/>
  <c r="O92" i="16"/>
  <c r="S92" i="16" s="1"/>
  <c r="T90" i="16"/>
  <c r="U90" i="16"/>
  <c r="W90" i="16" s="1"/>
  <c r="V92" i="16" l="1"/>
  <c r="P92" i="16"/>
  <c r="Q92" i="16" s="1"/>
  <c r="O93" i="16"/>
  <c r="S93" i="16" s="1"/>
  <c r="T91" i="16"/>
  <c r="U91" i="16"/>
  <c r="W91" i="16" s="1"/>
  <c r="V93" i="16" l="1"/>
  <c r="P93" i="16"/>
  <c r="Q93" i="16" s="1"/>
  <c r="O94" i="16"/>
  <c r="S94" i="16" s="1"/>
  <c r="T92" i="16"/>
  <c r="U92" i="16"/>
  <c r="W92" i="16" s="1"/>
  <c r="V94" i="16" l="1"/>
  <c r="P94" i="16"/>
  <c r="Q94" i="16" s="1"/>
  <c r="O95" i="16"/>
  <c r="S95" i="16" s="1"/>
  <c r="T93" i="16"/>
  <c r="U93" i="16"/>
  <c r="W93" i="16" s="1"/>
  <c r="V95" i="16" l="1"/>
  <c r="P95" i="16"/>
  <c r="Q95" i="16" s="1"/>
  <c r="O96" i="16"/>
  <c r="S96" i="16" s="1"/>
  <c r="T94" i="16"/>
  <c r="U94" i="16"/>
  <c r="W94" i="16" s="1"/>
  <c r="V96" i="16" l="1"/>
  <c r="P96" i="16"/>
  <c r="Q96" i="16" s="1"/>
  <c r="O97" i="16"/>
  <c r="S97" i="16" s="1"/>
  <c r="T95" i="16"/>
  <c r="U95" i="16"/>
  <c r="W95" i="16" s="1"/>
  <c r="V97" i="16" l="1"/>
  <c r="P97" i="16"/>
  <c r="Q97" i="16" s="1"/>
  <c r="O98" i="16"/>
  <c r="S98" i="16" s="1"/>
  <c r="T96" i="16"/>
  <c r="U96" i="16"/>
  <c r="W96" i="16" s="1"/>
  <c r="V98" i="16" l="1"/>
  <c r="P98" i="16"/>
  <c r="Q98" i="16" s="1"/>
  <c r="O99" i="16"/>
  <c r="S99" i="16" s="1"/>
  <c r="T97" i="16"/>
  <c r="U97" i="16"/>
  <c r="W97" i="16" s="1"/>
  <c r="V99" i="16" l="1"/>
  <c r="P99" i="16"/>
  <c r="Q99" i="16" s="1"/>
  <c r="O100" i="16"/>
  <c r="S100" i="16" s="1"/>
  <c r="T98" i="16"/>
  <c r="U98" i="16"/>
  <c r="W98" i="16" s="1"/>
  <c r="V100" i="16" l="1"/>
  <c r="P100" i="16"/>
  <c r="Q100" i="16" s="1"/>
  <c r="O101" i="16"/>
  <c r="S101" i="16" s="1"/>
  <c r="T99" i="16"/>
  <c r="U99" i="16"/>
  <c r="W99" i="16" s="1"/>
  <c r="V101" i="16" l="1"/>
  <c r="P101" i="16"/>
  <c r="Q101" i="16" s="1"/>
  <c r="O102" i="16"/>
  <c r="S102" i="16" s="1"/>
  <c r="T100" i="16"/>
  <c r="U100" i="16"/>
  <c r="W100" i="16" s="1"/>
  <c r="V102" i="16" l="1"/>
  <c r="P102" i="16"/>
  <c r="Q102" i="16" s="1"/>
  <c r="O103" i="16"/>
  <c r="S103" i="16" s="1"/>
  <c r="T101" i="16"/>
  <c r="U101" i="16"/>
  <c r="W101" i="16" s="1"/>
  <c r="V103" i="16" l="1"/>
  <c r="P103" i="16"/>
  <c r="Q103" i="16" s="1"/>
  <c r="O104" i="16"/>
  <c r="S104" i="16" s="1"/>
  <c r="T102" i="16"/>
  <c r="U102" i="16"/>
  <c r="W102" i="16" s="1"/>
  <c r="V104" i="16" l="1"/>
  <c r="P104" i="16"/>
  <c r="Q104" i="16" s="1"/>
  <c r="O105" i="16"/>
  <c r="S105" i="16" s="1"/>
  <c r="T103" i="16"/>
  <c r="U103" i="16"/>
  <c r="W103" i="16" s="1"/>
  <c r="V105" i="16" l="1"/>
  <c r="P105" i="16"/>
  <c r="Q105" i="16" s="1"/>
  <c r="O106" i="16"/>
  <c r="S106" i="16" s="1"/>
  <c r="T104" i="16"/>
  <c r="U104" i="16"/>
  <c r="W104" i="16" s="1"/>
  <c r="V106" i="16" l="1"/>
  <c r="P106" i="16"/>
  <c r="Q106" i="16" s="1"/>
  <c r="O107" i="16"/>
  <c r="S107" i="16" s="1"/>
  <c r="T105" i="16"/>
  <c r="U105" i="16"/>
  <c r="W105" i="16" s="1"/>
  <c r="V107" i="16" l="1"/>
  <c r="P107" i="16"/>
  <c r="Q107" i="16" s="1"/>
  <c r="O108" i="16"/>
  <c r="S108" i="16" s="1"/>
  <c r="T106" i="16"/>
  <c r="U106" i="16"/>
  <c r="W106" i="16" s="1"/>
  <c r="V108" i="16" l="1"/>
  <c r="P108" i="16"/>
  <c r="Q108" i="16" s="1"/>
  <c r="O109" i="16"/>
  <c r="S109" i="16" s="1"/>
  <c r="T107" i="16"/>
  <c r="U107" i="16"/>
  <c r="W107" i="16" s="1"/>
  <c r="V109" i="16" l="1"/>
  <c r="P109" i="16"/>
  <c r="Q109" i="16" s="1"/>
  <c r="O110" i="16"/>
  <c r="S110" i="16" s="1"/>
  <c r="T108" i="16"/>
  <c r="U108" i="16"/>
  <c r="W108" i="16" s="1"/>
  <c r="V110" i="16" l="1"/>
  <c r="P110" i="16"/>
  <c r="Q110" i="16" s="1"/>
  <c r="O111" i="16"/>
  <c r="S111" i="16" s="1"/>
  <c r="T109" i="16"/>
  <c r="U109" i="16"/>
  <c r="W109" i="16" s="1"/>
  <c r="V111" i="16" l="1"/>
  <c r="P111" i="16"/>
  <c r="Q111" i="16" s="1"/>
  <c r="O112" i="16"/>
  <c r="S112" i="16" s="1"/>
  <c r="T110" i="16"/>
  <c r="U110" i="16"/>
  <c r="W110" i="16" s="1"/>
  <c r="V112" i="16" l="1"/>
  <c r="P112" i="16"/>
  <c r="Q112" i="16" s="1"/>
  <c r="O113" i="16"/>
  <c r="S113" i="16" s="1"/>
  <c r="T111" i="16"/>
  <c r="U111" i="16"/>
  <c r="W111" i="16" s="1"/>
  <c r="V113" i="16" l="1"/>
  <c r="P113" i="16"/>
  <c r="Q113" i="16" s="1"/>
  <c r="O114" i="16"/>
  <c r="S114" i="16" s="1"/>
  <c r="T112" i="16"/>
  <c r="U112" i="16"/>
  <c r="W112" i="16" s="1"/>
  <c r="V114" i="16" l="1"/>
  <c r="P114" i="16"/>
  <c r="Q114" i="16" s="1"/>
  <c r="O115" i="16"/>
  <c r="S115" i="16" s="1"/>
  <c r="T113" i="16"/>
  <c r="U113" i="16"/>
  <c r="W113" i="16" s="1"/>
  <c r="V115" i="16" l="1"/>
  <c r="P115" i="16"/>
  <c r="Q115" i="16" s="1"/>
  <c r="O116" i="16"/>
  <c r="S116" i="16" s="1"/>
  <c r="T114" i="16"/>
  <c r="U114" i="16"/>
  <c r="W114" i="16" s="1"/>
  <c r="V116" i="16" l="1"/>
  <c r="P116" i="16"/>
  <c r="Q116" i="16" s="1"/>
  <c r="O117" i="16"/>
  <c r="S117" i="16" s="1"/>
  <c r="T115" i="16"/>
  <c r="U115" i="16"/>
  <c r="W115" i="16" s="1"/>
  <c r="V117" i="16" l="1"/>
  <c r="P117" i="16"/>
  <c r="Q117" i="16" s="1"/>
  <c r="O118" i="16"/>
  <c r="S118" i="16" s="1"/>
  <c r="T116" i="16"/>
  <c r="U116" i="16"/>
  <c r="W116" i="16" s="1"/>
  <c r="V118" i="16" l="1"/>
  <c r="P118" i="16"/>
  <c r="Q118" i="16" s="1"/>
  <c r="O119" i="16"/>
  <c r="S119" i="16" s="1"/>
  <c r="T117" i="16"/>
  <c r="U117" i="16"/>
  <c r="W117" i="16" s="1"/>
  <c r="V119" i="16" l="1"/>
  <c r="P119" i="16"/>
  <c r="Q119" i="16" s="1"/>
  <c r="O120" i="16"/>
  <c r="S120" i="16" s="1"/>
  <c r="T118" i="16"/>
  <c r="U118" i="16"/>
  <c r="W118" i="16" s="1"/>
  <c r="V120" i="16" l="1"/>
  <c r="P120" i="16"/>
  <c r="Q120" i="16" s="1"/>
  <c r="O121" i="16"/>
  <c r="S121" i="16" s="1"/>
  <c r="T119" i="16"/>
  <c r="U119" i="16"/>
  <c r="W119" i="16" s="1"/>
  <c r="V121" i="16" l="1"/>
  <c r="P121" i="16"/>
  <c r="Q121" i="16" s="1"/>
  <c r="O122" i="16"/>
  <c r="S122" i="16" s="1"/>
  <c r="T120" i="16"/>
  <c r="U120" i="16"/>
  <c r="W120" i="16" s="1"/>
  <c r="V122" i="16" l="1"/>
  <c r="P122" i="16"/>
  <c r="Q122" i="16" s="1"/>
  <c r="O123" i="16"/>
  <c r="S123" i="16" s="1"/>
  <c r="T121" i="16"/>
  <c r="U121" i="16"/>
  <c r="W121" i="16" s="1"/>
  <c r="V123" i="16" l="1"/>
  <c r="P123" i="16"/>
  <c r="Q123" i="16" s="1"/>
  <c r="O124" i="16"/>
  <c r="S124" i="16" s="1"/>
  <c r="T122" i="16"/>
  <c r="U122" i="16"/>
  <c r="W122" i="16" s="1"/>
  <c r="V124" i="16" l="1"/>
  <c r="P124" i="16"/>
  <c r="Q124" i="16" s="1"/>
  <c r="O125" i="16"/>
  <c r="S125" i="16" s="1"/>
  <c r="T123" i="16"/>
  <c r="U123" i="16"/>
  <c r="W123" i="16" s="1"/>
  <c r="V125" i="16" l="1"/>
  <c r="P125" i="16"/>
  <c r="Q125" i="16" s="1"/>
  <c r="O126" i="16"/>
  <c r="S126" i="16" s="1"/>
  <c r="T124" i="16"/>
  <c r="U124" i="16"/>
  <c r="W124" i="16" s="1"/>
  <c r="V126" i="16" l="1"/>
  <c r="P126" i="16"/>
  <c r="Q126" i="16" s="1"/>
  <c r="O127" i="16"/>
  <c r="S127" i="16" s="1"/>
  <c r="T125" i="16"/>
  <c r="U125" i="16"/>
  <c r="W125" i="16" s="1"/>
  <c r="V127" i="16" l="1"/>
  <c r="P127" i="16"/>
  <c r="Q127" i="16" s="1"/>
  <c r="O128" i="16"/>
  <c r="S128" i="16" s="1"/>
  <c r="T126" i="16"/>
  <c r="U126" i="16"/>
  <c r="W126" i="16" s="1"/>
  <c r="V128" i="16" l="1"/>
  <c r="P128" i="16"/>
  <c r="Q128" i="16" s="1"/>
  <c r="O129" i="16"/>
  <c r="S129" i="16" s="1"/>
  <c r="T127" i="16"/>
  <c r="U127" i="16"/>
  <c r="W127" i="16" s="1"/>
  <c r="V129" i="16" l="1"/>
  <c r="P129" i="16"/>
  <c r="Q129" i="16" s="1"/>
  <c r="O130" i="16"/>
  <c r="S130" i="16" s="1"/>
  <c r="T128" i="16"/>
  <c r="U128" i="16"/>
  <c r="W128" i="16" s="1"/>
  <c r="V130" i="16" l="1"/>
  <c r="P130" i="16"/>
  <c r="Q130" i="16" s="1"/>
  <c r="O131" i="16"/>
  <c r="S131" i="16" s="1"/>
  <c r="T129" i="16"/>
  <c r="U129" i="16"/>
  <c r="W129" i="16" s="1"/>
  <c r="V131" i="16" l="1"/>
  <c r="P131" i="16"/>
  <c r="Q131" i="16" s="1"/>
  <c r="O132" i="16"/>
  <c r="S132" i="16" s="1"/>
  <c r="T130" i="16"/>
  <c r="U130" i="16"/>
  <c r="W130" i="16" s="1"/>
  <c r="V132" i="16" l="1"/>
  <c r="P132" i="16"/>
  <c r="Q132" i="16" s="1"/>
  <c r="O133" i="16"/>
  <c r="S133" i="16" s="1"/>
  <c r="T131" i="16"/>
  <c r="U131" i="16"/>
  <c r="W131" i="16" s="1"/>
  <c r="V133" i="16" l="1"/>
  <c r="P133" i="16"/>
  <c r="Q133" i="16" s="1"/>
  <c r="O134" i="16"/>
  <c r="S134" i="16" s="1"/>
  <c r="T132" i="16"/>
  <c r="U132" i="16"/>
  <c r="W132" i="16" s="1"/>
  <c r="V134" i="16" l="1"/>
  <c r="P134" i="16"/>
  <c r="Q134" i="16" s="1"/>
  <c r="O135" i="16"/>
  <c r="S135" i="16" s="1"/>
  <c r="T133" i="16"/>
  <c r="U133" i="16"/>
  <c r="W133" i="16" s="1"/>
  <c r="V135" i="16" l="1"/>
  <c r="P135" i="16"/>
  <c r="Q135" i="16" s="1"/>
  <c r="O136" i="16"/>
  <c r="S136" i="16" s="1"/>
  <c r="T134" i="16"/>
  <c r="U134" i="16"/>
  <c r="W134" i="16" s="1"/>
  <c r="V136" i="16" l="1"/>
  <c r="P136" i="16"/>
  <c r="Q136" i="16" s="1"/>
  <c r="O137" i="16"/>
  <c r="S137" i="16" s="1"/>
  <c r="T135" i="16"/>
  <c r="U135" i="16"/>
  <c r="W135" i="16" s="1"/>
  <c r="V137" i="16" l="1"/>
  <c r="P137" i="16"/>
  <c r="Q137" i="16" s="1"/>
  <c r="O138" i="16"/>
  <c r="S138" i="16" s="1"/>
  <c r="T136" i="16"/>
  <c r="U136" i="16"/>
  <c r="W136" i="16" s="1"/>
  <c r="V138" i="16" l="1"/>
  <c r="P138" i="16"/>
  <c r="Q138" i="16" s="1"/>
  <c r="O139" i="16"/>
  <c r="S139" i="16" s="1"/>
  <c r="T137" i="16"/>
  <c r="U137" i="16"/>
  <c r="W137" i="16" s="1"/>
  <c r="V139" i="16" l="1"/>
  <c r="P139" i="16"/>
  <c r="Q139" i="16" s="1"/>
  <c r="O140" i="16"/>
  <c r="S140" i="16" s="1"/>
  <c r="T138" i="16"/>
  <c r="U138" i="16"/>
  <c r="W138" i="16" s="1"/>
  <c r="V140" i="16" l="1"/>
  <c r="P140" i="16"/>
  <c r="Q140" i="16" s="1"/>
  <c r="O141" i="16"/>
  <c r="S141" i="16" s="1"/>
  <c r="T139" i="16"/>
  <c r="U139" i="16"/>
  <c r="W139" i="16" s="1"/>
  <c r="V141" i="16" l="1"/>
  <c r="P141" i="16"/>
  <c r="Q141" i="16" s="1"/>
  <c r="O142" i="16"/>
  <c r="S142" i="16" s="1"/>
  <c r="T140" i="16"/>
  <c r="U140" i="16"/>
  <c r="W140" i="16" s="1"/>
  <c r="T141" i="16" l="1"/>
  <c r="U141" i="16"/>
  <c r="W141" i="16" s="1"/>
  <c r="V142" i="16"/>
  <c r="P142" i="16"/>
  <c r="Q142" i="16" s="1"/>
  <c r="O143" i="16"/>
  <c r="S143" i="16" s="1"/>
  <c r="V143" i="16" l="1"/>
  <c r="P143" i="16"/>
  <c r="Q143" i="16" s="1"/>
  <c r="O144" i="16"/>
  <c r="S144" i="16" s="1"/>
  <c r="T142" i="16"/>
  <c r="U142" i="16"/>
  <c r="W142" i="16" s="1"/>
  <c r="V144" i="16" l="1"/>
  <c r="P144" i="16"/>
  <c r="Q144" i="16" s="1"/>
  <c r="O145" i="16"/>
  <c r="S145" i="16" s="1"/>
  <c r="T143" i="16"/>
  <c r="U143" i="16"/>
  <c r="W143" i="16" s="1"/>
  <c r="V145" i="16" l="1"/>
  <c r="P145" i="16"/>
  <c r="Q145" i="16" s="1"/>
  <c r="O146" i="16"/>
  <c r="S146" i="16" s="1"/>
  <c r="T144" i="16"/>
  <c r="U144" i="16"/>
  <c r="W144" i="16" s="1"/>
  <c r="V146" i="16" l="1"/>
  <c r="P146" i="16"/>
  <c r="Q146" i="16" s="1"/>
  <c r="O147" i="16"/>
  <c r="S147" i="16" s="1"/>
  <c r="T145" i="16"/>
  <c r="U145" i="16"/>
  <c r="W145" i="16" s="1"/>
  <c r="V147" i="16" l="1"/>
  <c r="P147" i="16"/>
  <c r="Q147" i="16" s="1"/>
  <c r="O148" i="16"/>
  <c r="S148" i="16" s="1"/>
  <c r="T146" i="16"/>
  <c r="U146" i="16"/>
  <c r="W146" i="16" s="1"/>
  <c r="V148" i="16" l="1"/>
  <c r="P148" i="16"/>
  <c r="Q148" i="16" s="1"/>
  <c r="O149" i="16"/>
  <c r="S149" i="16" s="1"/>
  <c r="T147" i="16"/>
  <c r="U147" i="16"/>
  <c r="W147" i="16" s="1"/>
  <c r="V149" i="16" l="1"/>
  <c r="P149" i="16"/>
  <c r="Q149" i="16" s="1"/>
  <c r="O150" i="16"/>
  <c r="S150" i="16" s="1"/>
  <c r="T148" i="16"/>
  <c r="U148" i="16"/>
  <c r="W148" i="16" s="1"/>
  <c r="V150" i="16" l="1"/>
  <c r="P150" i="16"/>
  <c r="Q150" i="16" s="1"/>
  <c r="O151" i="16"/>
  <c r="S151" i="16" s="1"/>
  <c r="T149" i="16"/>
  <c r="U149" i="16"/>
  <c r="W149" i="16" s="1"/>
  <c r="V151" i="16" l="1"/>
  <c r="P151" i="16"/>
  <c r="Q151" i="16" s="1"/>
  <c r="O152" i="16"/>
  <c r="S152" i="16" s="1"/>
  <c r="T150" i="16"/>
  <c r="U150" i="16"/>
  <c r="W150" i="16" s="1"/>
  <c r="V152" i="16" l="1"/>
  <c r="P152" i="16"/>
  <c r="Q152" i="16" s="1"/>
  <c r="O153" i="16"/>
  <c r="S153" i="16" s="1"/>
  <c r="T151" i="16"/>
  <c r="U151" i="16"/>
  <c r="W151" i="16" s="1"/>
  <c r="T152" i="16" l="1"/>
  <c r="U152" i="16"/>
  <c r="W152" i="16" s="1"/>
  <c r="V153" i="16"/>
  <c r="P153" i="16"/>
  <c r="Q153" i="16" s="1"/>
  <c r="O154" i="16"/>
  <c r="S154" i="16" s="1"/>
  <c r="V154" i="16" l="1"/>
  <c r="P154" i="16"/>
  <c r="Q154" i="16" s="1"/>
  <c r="O155" i="16"/>
  <c r="S155" i="16" s="1"/>
  <c r="T153" i="16"/>
  <c r="U153" i="16"/>
  <c r="W153" i="16" s="1"/>
  <c r="V155" i="16" l="1"/>
  <c r="P155" i="16"/>
  <c r="Q155" i="16" s="1"/>
  <c r="O156" i="16"/>
  <c r="S156" i="16" s="1"/>
  <c r="T154" i="16"/>
  <c r="U154" i="16"/>
  <c r="W154" i="16" s="1"/>
  <c r="V156" i="16" l="1"/>
  <c r="P156" i="16"/>
  <c r="Q156" i="16" s="1"/>
  <c r="O157" i="16"/>
  <c r="S157" i="16" s="1"/>
  <c r="T155" i="16"/>
  <c r="U155" i="16"/>
  <c r="W155" i="16" s="1"/>
  <c r="T156" i="16" l="1"/>
  <c r="U156" i="16"/>
  <c r="W156" i="16" s="1"/>
  <c r="V157" i="16"/>
  <c r="P157" i="16"/>
  <c r="Q157" i="16" s="1"/>
  <c r="O158" i="16"/>
  <c r="S158" i="16" s="1"/>
  <c r="V158" i="16" l="1"/>
  <c r="P158" i="16"/>
  <c r="Q158" i="16" s="1"/>
  <c r="O159" i="16"/>
  <c r="S159" i="16" s="1"/>
  <c r="T157" i="16"/>
  <c r="U157" i="16"/>
  <c r="W157" i="16" s="1"/>
  <c r="T158" i="16" l="1"/>
  <c r="U158" i="16"/>
  <c r="W158" i="16" s="1"/>
  <c r="V159" i="16"/>
  <c r="P159" i="16"/>
  <c r="Q159" i="16" s="1"/>
  <c r="O160" i="16"/>
  <c r="S160" i="16" s="1"/>
  <c r="V160" i="16" l="1"/>
  <c r="P160" i="16"/>
  <c r="Q160" i="16" s="1"/>
  <c r="O161" i="16"/>
  <c r="S161" i="16" s="1"/>
  <c r="T159" i="16"/>
  <c r="U159" i="16"/>
  <c r="W159" i="16" s="1"/>
  <c r="T160" i="16" l="1"/>
  <c r="U160" i="16"/>
  <c r="W160" i="16" s="1"/>
  <c r="V161" i="16"/>
  <c r="P161" i="16"/>
  <c r="Q161" i="16" s="1"/>
  <c r="O162" i="16"/>
  <c r="S162" i="16" s="1"/>
  <c r="V162" i="16" l="1"/>
  <c r="P162" i="16"/>
  <c r="Q162" i="16" s="1"/>
  <c r="O163" i="16"/>
  <c r="S163" i="16" s="1"/>
  <c r="T161" i="16"/>
  <c r="U161" i="16"/>
  <c r="W161" i="16" s="1"/>
  <c r="V163" i="16" l="1"/>
  <c r="P163" i="16"/>
  <c r="Q163" i="16" s="1"/>
  <c r="O164" i="16"/>
  <c r="S164" i="16" s="1"/>
  <c r="T162" i="16"/>
  <c r="U162" i="16"/>
  <c r="W162" i="16" s="1"/>
  <c r="V164" i="16" l="1"/>
  <c r="P164" i="16"/>
  <c r="Q164" i="16" s="1"/>
  <c r="O165" i="16"/>
  <c r="S165" i="16" s="1"/>
  <c r="T163" i="16"/>
  <c r="U163" i="16"/>
  <c r="W163" i="16" s="1"/>
  <c r="V165" i="16" l="1"/>
  <c r="P165" i="16"/>
  <c r="Q165" i="16" s="1"/>
  <c r="O166" i="16"/>
  <c r="S166" i="16" s="1"/>
  <c r="T164" i="16"/>
  <c r="U164" i="16"/>
  <c r="W164" i="16" s="1"/>
  <c r="V166" i="16" l="1"/>
  <c r="P166" i="16"/>
  <c r="Q166" i="16" s="1"/>
  <c r="O167" i="16"/>
  <c r="S167" i="16" s="1"/>
  <c r="T165" i="16"/>
  <c r="U165" i="16"/>
  <c r="W165" i="16" s="1"/>
  <c r="T166" i="16" l="1"/>
  <c r="U166" i="16"/>
  <c r="W166" i="16" s="1"/>
  <c r="V167" i="16"/>
  <c r="P167" i="16"/>
  <c r="Q167" i="16" s="1"/>
  <c r="O168" i="16"/>
  <c r="S168" i="16" s="1"/>
  <c r="V168" i="16" l="1"/>
  <c r="P168" i="16"/>
  <c r="Q168" i="16" s="1"/>
  <c r="O169" i="16"/>
  <c r="S169" i="16" s="1"/>
  <c r="T167" i="16"/>
  <c r="U167" i="16"/>
  <c r="W167" i="16" s="1"/>
  <c r="V169" i="16" l="1"/>
  <c r="P169" i="16"/>
  <c r="Q169" i="16" s="1"/>
  <c r="O170" i="16"/>
  <c r="S170" i="16" s="1"/>
  <c r="T168" i="16"/>
  <c r="U168" i="16"/>
  <c r="W168" i="16" s="1"/>
  <c r="V170" i="16" l="1"/>
  <c r="P170" i="16"/>
  <c r="Q170" i="16" s="1"/>
  <c r="O171" i="16"/>
  <c r="S171" i="16" s="1"/>
  <c r="T169" i="16"/>
  <c r="U169" i="16"/>
  <c r="W169" i="16" s="1"/>
  <c r="V171" i="16" l="1"/>
  <c r="P171" i="16"/>
  <c r="Q171" i="16" s="1"/>
  <c r="O172" i="16"/>
  <c r="S172" i="16" s="1"/>
  <c r="T170" i="16"/>
  <c r="U170" i="16"/>
  <c r="W170" i="16" s="1"/>
  <c r="V172" i="16" l="1"/>
  <c r="P172" i="16"/>
  <c r="Q172" i="16" s="1"/>
  <c r="O173" i="16"/>
  <c r="S173" i="16" s="1"/>
  <c r="T171" i="16"/>
  <c r="U171" i="16"/>
  <c r="W171" i="16" s="1"/>
  <c r="V173" i="16" l="1"/>
  <c r="P173" i="16"/>
  <c r="Q173" i="16" s="1"/>
  <c r="O174" i="16"/>
  <c r="S174" i="16" s="1"/>
  <c r="T172" i="16"/>
  <c r="U172" i="16"/>
  <c r="W172" i="16" s="1"/>
  <c r="V174" i="16" l="1"/>
  <c r="P174" i="16"/>
  <c r="Q174" i="16" s="1"/>
  <c r="O175" i="16"/>
  <c r="S175" i="16" s="1"/>
  <c r="T173" i="16"/>
  <c r="U173" i="16"/>
  <c r="W173" i="16" s="1"/>
  <c r="T174" i="16" l="1"/>
  <c r="U174" i="16"/>
  <c r="W174" i="16" s="1"/>
  <c r="V175" i="16"/>
  <c r="P175" i="16"/>
  <c r="Q175" i="16" s="1"/>
  <c r="O176" i="16"/>
  <c r="S176" i="16" s="1"/>
  <c r="V176" i="16" l="1"/>
  <c r="P176" i="16"/>
  <c r="Q176" i="16" s="1"/>
  <c r="O177" i="16"/>
  <c r="S177" i="16" s="1"/>
  <c r="T175" i="16"/>
  <c r="U175" i="16"/>
  <c r="W175" i="16" s="1"/>
  <c r="T176" i="16" l="1"/>
  <c r="U176" i="16"/>
  <c r="W176" i="16" s="1"/>
  <c r="V177" i="16"/>
  <c r="P177" i="16"/>
  <c r="Q177" i="16" s="1"/>
  <c r="O178" i="16"/>
  <c r="S178" i="16" s="1"/>
  <c r="V178" i="16" l="1"/>
  <c r="P178" i="16"/>
  <c r="Q178" i="16" s="1"/>
  <c r="O179" i="16"/>
  <c r="S179" i="16" s="1"/>
  <c r="T177" i="16"/>
  <c r="U177" i="16"/>
  <c r="W177" i="16" s="1"/>
  <c r="V179" i="16" l="1"/>
  <c r="P179" i="16"/>
  <c r="Q179" i="16" s="1"/>
  <c r="O180" i="16"/>
  <c r="S180" i="16" s="1"/>
  <c r="T178" i="16"/>
  <c r="U178" i="16"/>
  <c r="W178" i="16" s="1"/>
  <c r="V180" i="16" l="1"/>
  <c r="P180" i="16"/>
  <c r="Q180" i="16" s="1"/>
  <c r="O181" i="16"/>
  <c r="S181" i="16" s="1"/>
  <c r="T179" i="16"/>
  <c r="U179" i="16"/>
  <c r="W179" i="16" s="1"/>
  <c r="V181" i="16" l="1"/>
  <c r="P181" i="16"/>
  <c r="Q181" i="16" s="1"/>
  <c r="O182" i="16"/>
  <c r="S182" i="16" s="1"/>
  <c r="T180" i="16"/>
  <c r="U180" i="16"/>
  <c r="W180" i="16" s="1"/>
  <c r="V182" i="16" l="1"/>
  <c r="P182" i="16"/>
  <c r="Q182" i="16" s="1"/>
  <c r="O183" i="16"/>
  <c r="S183" i="16" s="1"/>
  <c r="T181" i="16"/>
  <c r="U181" i="16"/>
  <c r="W181" i="16" s="1"/>
  <c r="V183" i="16" l="1"/>
  <c r="P183" i="16"/>
  <c r="Q183" i="16" s="1"/>
  <c r="O184" i="16"/>
  <c r="S184" i="16" s="1"/>
  <c r="T182" i="16"/>
  <c r="U182" i="16"/>
  <c r="W182" i="16" s="1"/>
  <c r="V184" i="16" l="1"/>
  <c r="P184" i="16"/>
  <c r="Q184" i="16" s="1"/>
  <c r="O185" i="16"/>
  <c r="S185" i="16" s="1"/>
  <c r="T183" i="16"/>
  <c r="U183" i="16"/>
  <c r="W183" i="16" s="1"/>
  <c r="V185" i="16" l="1"/>
  <c r="P185" i="16"/>
  <c r="Q185" i="16" s="1"/>
  <c r="O186" i="16"/>
  <c r="S186" i="16" s="1"/>
  <c r="T184" i="16"/>
  <c r="U184" i="16"/>
  <c r="W184" i="16" s="1"/>
  <c r="V186" i="16" l="1"/>
  <c r="P186" i="16"/>
  <c r="Q186" i="16" s="1"/>
  <c r="O187" i="16"/>
  <c r="S187" i="16" s="1"/>
  <c r="T185" i="16"/>
  <c r="U185" i="16"/>
  <c r="W185" i="16" s="1"/>
  <c r="V187" i="16" l="1"/>
  <c r="P187" i="16"/>
  <c r="Q187" i="16" s="1"/>
  <c r="O188" i="16"/>
  <c r="S188" i="16" s="1"/>
  <c r="T186" i="16"/>
  <c r="U186" i="16"/>
  <c r="W186" i="16" s="1"/>
  <c r="V188" i="16" l="1"/>
  <c r="P188" i="16"/>
  <c r="Q188" i="16" s="1"/>
  <c r="O189" i="16"/>
  <c r="S189" i="16" s="1"/>
  <c r="T187" i="16"/>
  <c r="U187" i="16"/>
  <c r="W187" i="16" s="1"/>
  <c r="V189" i="16" l="1"/>
  <c r="P189" i="16"/>
  <c r="Q189" i="16" s="1"/>
  <c r="O190" i="16"/>
  <c r="S190" i="16" s="1"/>
  <c r="T188" i="16"/>
  <c r="U188" i="16"/>
  <c r="W188" i="16" s="1"/>
  <c r="V190" i="16" l="1"/>
  <c r="P190" i="16"/>
  <c r="Q190" i="16" s="1"/>
  <c r="O191" i="16"/>
  <c r="S191" i="16" s="1"/>
  <c r="T189" i="16"/>
  <c r="U189" i="16"/>
  <c r="W189" i="16" s="1"/>
  <c r="V191" i="16" l="1"/>
  <c r="P191" i="16"/>
  <c r="Q191" i="16" s="1"/>
  <c r="O192" i="16"/>
  <c r="S192" i="16" s="1"/>
  <c r="T190" i="16"/>
  <c r="U190" i="16"/>
  <c r="W190" i="16" s="1"/>
  <c r="V192" i="16" l="1"/>
  <c r="P192" i="16"/>
  <c r="Q192" i="16" s="1"/>
  <c r="O193" i="16"/>
  <c r="S193" i="16" s="1"/>
  <c r="T191" i="16"/>
  <c r="U191" i="16"/>
  <c r="W191" i="16" s="1"/>
  <c r="V193" i="16" l="1"/>
  <c r="P193" i="16"/>
  <c r="Q193" i="16" s="1"/>
  <c r="O194" i="16"/>
  <c r="S194" i="16" s="1"/>
  <c r="T192" i="16"/>
  <c r="U192" i="16"/>
  <c r="W192" i="16" s="1"/>
  <c r="V194" i="16" l="1"/>
  <c r="P194" i="16"/>
  <c r="Q194" i="16" s="1"/>
  <c r="O195" i="16"/>
  <c r="S195" i="16" s="1"/>
  <c r="T193" i="16"/>
  <c r="U193" i="16"/>
  <c r="W193" i="16" s="1"/>
  <c r="V195" i="16" l="1"/>
  <c r="P195" i="16"/>
  <c r="Q195" i="16" s="1"/>
  <c r="O196" i="16"/>
  <c r="S196" i="16" s="1"/>
  <c r="T194" i="16"/>
  <c r="U194" i="16"/>
  <c r="W194" i="16" s="1"/>
  <c r="V196" i="16" l="1"/>
  <c r="P196" i="16"/>
  <c r="Q196" i="16" s="1"/>
  <c r="O197" i="16"/>
  <c r="S197" i="16" s="1"/>
  <c r="T195" i="16"/>
  <c r="U195" i="16"/>
  <c r="W195" i="16" s="1"/>
  <c r="V197" i="16" l="1"/>
  <c r="P197" i="16"/>
  <c r="Q197" i="16" s="1"/>
  <c r="O198" i="16"/>
  <c r="S198" i="16" s="1"/>
  <c r="T196" i="16"/>
  <c r="U196" i="16"/>
  <c r="W196" i="16" s="1"/>
  <c r="V198" i="16" l="1"/>
  <c r="P198" i="16"/>
  <c r="Q198" i="16" s="1"/>
  <c r="O199" i="16"/>
  <c r="S199" i="16" s="1"/>
  <c r="T197" i="16"/>
  <c r="U197" i="16"/>
  <c r="W197" i="16" s="1"/>
  <c r="V199" i="16" l="1"/>
  <c r="P199" i="16"/>
  <c r="Q199" i="16" s="1"/>
  <c r="O200" i="16"/>
  <c r="S200" i="16" s="1"/>
  <c r="T198" i="16"/>
  <c r="U198" i="16"/>
  <c r="W198" i="16" s="1"/>
  <c r="V200" i="16" l="1"/>
  <c r="P200" i="16"/>
  <c r="Q200" i="16" s="1"/>
  <c r="O201" i="16"/>
  <c r="S201" i="16" s="1"/>
  <c r="T199" i="16"/>
  <c r="U199" i="16"/>
  <c r="W199" i="16" s="1"/>
  <c r="V201" i="16" l="1"/>
  <c r="P201" i="16"/>
  <c r="Q201" i="16" s="1"/>
  <c r="O202" i="16"/>
  <c r="S202" i="16" s="1"/>
  <c r="T200" i="16"/>
  <c r="U200" i="16"/>
  <c r="W200" i="16" s="1"/>
  <c r="V202" i="16" l="1"/>
  <c r="P202" i="16"/>
  <c r="Q202" i="16" s="1"/>
  <c r="O203" i="16"/>
  <c r="S203" i="16" s="1"/>
  <c r="T201" i="16"/>
  <c r="U201" i="16"/>
  <c r="W201" i="16" s="1"/>
  <c r="V203" i="16" l="1"/>
  <c r="P203" i="16"/>
  <c r="Q203" i="16" s="1"/>
  <c r="O204" i="16"/>
  <c r="S204" i="16" s="1"/>
  <c r="T202" i="16"/>
  <c r="U202" i="16"/>
  <c r="W202" i="16" s="1"/>
  <c r="V204" i="16" l="1"/>
  <c r="P204" i="16"/>
  <c r="Q204" i="16" s="1"/>
  <c r="O205" i="16"/>
  <c r="S205" i="16" s="1"/>
  <c r="T203" i="16"/>
  <c r="U203" i="16"/>
  <c r="W203" i="16" s="1"/>
  <c r="T204" i="16" l="1"/>
  <c r="U204" i="16"/>
  <c r="W204" i="16" s="1"/>
  <c r="V205" i="16"/>
  <c r="P205" i="16"/>
  <c r="Q205" i="16" s="1"/>
  <c r="O206" i="16"/>
  <c r="S206" i="16" s="1"/>
  <c r="V206" i="16" l="1"/>
  <c r="P206" i="16"/>
  <c r="Q206" i="16" s="1"/>
  <c r="O207" i="16"/>
  <c r="S207" i="16" s="1"/>
  <c r="T205" i="16"/>
  <c r="U205" i="16"/>
  <c r="W205" i="16" s="1"/>
  <c r="V207" i="16" l="1"/>
  <c r="P207" i="16"/>
  <c r="Q207" i="16" s="1"/>
  <c r="O208" i="16"/>
  <c r="S208" i="16" s="1"/>
  <c r="T206" i="16"/>
  <c r="U206" i="16"/>
  <c r="W206" i="16" s="1"/>
  <c r="T207" i="16" l="1"/>
  <c r="U207" i="16"/>
  <c r="W207" i="16" s="1"/>
  <c r="V208" i="16"/>
  <c r="P208" i="16"/>
  <c r="Q208" i="16" s="1"/>
  <c r="O209" i="16"/>
  <c r="S209" i="16" s="1"/>
  <c r="V209" i="16" l="1"/>
  <c r="P209" i="16"/>
  <c r="Q209" i="16" s="1"/>
  <c r="O210" i="16"/>
  <c r="S210" i="16" s="1"/>
  <c r="T208" i="16"/>
  <c r="U208" i="16"/>
  <c r="W208" i="16" s="1"/>
  <c r="V210" i="16" l="1"/>
  <c r="P210" i="16"/>
  <c r="Q210" i="16" s="1"/>
  <c r="O211" i="16"/>
  <c r="S211" i="16" s="1"/>
  <c r="T209" i="16"/>
  <c r="U209" i="16"/>
  <c r="W209" i="16" s="1"/>
  <c r="V211" i="16" l="1"/>
  <c r="P211" i="16"/>
  <c r="Q211" i="16" s="1"/>
  <c r="O212" i="16"/>
  <c r="S212" i="16" s="1"/>
  <c r="T210" i="16"/>
  <c r="U210" i="16"/>
  <c r="W210" i="16" s="1"/>
  <c r="V212" i="16" l="1"/>
  <c r="P212" i="16"/>
  <c r="Q212" i="16" s="1"/>
  <c r="O213" i="16"/>
  <c r="S213" i="16" s="1"/>
  <c r="T211" i="16"/>
  <c r="U211" i="16"/>
  <c r="W211" i="16" s="1"/>
  <c r="V213" i="16" l="1"/>
  <c r="P213" i="16"/>
  <c r="Q213" i="16" s="1"/>
  <c r="O214" i="16"/>
  <c r="S214" i="16" s="1"/>
  <c r="T212" i="16"/>
  <c r="U212" i="16"/>
  <c r="W212" i="16" s="1"/>
  <c r="V214" i="16" l="1"/>
  <c r="P214" i="16"/>
  <c r="Q214" i="16" s="1"/>
  <c r="O215" i="16"/>
  <c r="S215" i="16" s="1"/>
  <c r="T213" i="16"/>
  <c r="U213" i="16"/>
  <c r="W213" i="16" s="1"/>
  <c r="V215" i="16" l="1"/>
  <c r="P215" i="16"/>
  <c r="Q215" i="16" s="1"/>
  <c r="O216" i="16"/>
  <c r="S216" i="16" s="1"/>
  <c r="T214" i="16"/>
  <c r="U214" i="16"/>
  <c r="W214" i="16" s="1"/>
  <c r="V216" i="16" l="1"/>
  <c r="P216" i="16"/>
  <c r="Q216" i="16" s="1"/>
  <c r="O217" i="16"/>
  <c r="S217" i="16" s="1"/>
  <c r="T215" i="16"/>
  <c r="U215" i="16"/>
  <c r="W215" i="16" s="1"/>
  <c r="V217" i="16" l="1"/>
  <c r="P217" i="16"/>
  <c r="Q217" i="16" s="1"/>
  <c r="O218" i="16"/>
  <c r="S218" i="16" s="1"/>
  <c r="T216" i="16"/>
  <c r="U216" i="16"/>
  <c r="W216" i="16" s="1"/>
  <c r="V218" i="16" l="1"/>
  <c r="P218" i="16"/>
  <c r="Q218" i="16" s="1"/>
  <c r="O219" i="16"/>
  <c r="S219" i="16" s="1"/>
  <c r="T217" i="16"/>
  <c r="U217" i="16"/>
  <c r="W217" i="16" s="1"/>
  <c r="V219" i="16" l="1"/>
  <c r="P219" i="16"/>
  <c r="Q219" i="16" s="1"/>
  <c r="O220" i="16"/>
  <c r="S220" i="16" s="1"/>
  <c r="T218" i="16"/>
  <c r="U218" i="16"/>
  <c r="W218" i="16" s="1"/>
  <c r="V220" i="16" l="1"/>
  <c r="P220" i="16"/>
  <c r="Q220" i="16" s="1"/>
  <c r="O221" i="16"/>
  <c r="S221" i="16" s="1"/>
  <c r="T219" i="16"/>
  <c r="U219" i="16"/>
  <c r="W219" i="16" s="1"/>
  <c r="V221" i="16" l="1"/>
  <c r="P221" i="16"/>
  <c r="Q221" i="16" s="1"/>
  <c r="O222" i="16"/>
  <c r="S222" i="16" s="1"/>
  <c r="T220" i="16"/>
  <c r="U220" i="16"/>
  <c r="W220" i="16" s="1"/>
  <c r="V222" i="16" l="1"/>
  <c r="P222" i="16"/>
  <c r="Q222" i="16" s="1"/>
  <c r="O223" i="16"/>
  <c r="S223" i="16" s="1"/>
  <c r="T221" i="16"/>
  <c r="U221" i="16"/>
  <c r="W221" i="16" s="1"/>
  <c r="V223" i="16" l="1"/>
  <c r="P223" i="16"/>
  <c r="Q223" i="16" s="1"/>
  <c r="O224" i="16"/>
  <c r="S224" i="16" s="1"/>
  <c r="T222" i="16"/>
  <c r="U222" i="16"/>
  <c r="W222" i="16" s="1"/>
  <c r="V224" i="16" l="1"/>
  <c r="P224" i="16"/>
  <c r="Q224" i="16" s="1"/>
  <c r="O225" i="16"/>
  <c r="S225" i="16" s="1"/>
  <c r="T223" i="16"/>
  <c r="U223" i="16"/>
  <c r="W223" i="16" s="1"/>
  <c r="V225" i="16" l="1"/>
  <c r="P225" i="16"/>
  <c r="Q225" i="16" s="1"/>
  <c r="O226" i="16"/>
  <c r="S226" i="16" s="1"/>
  <c r="T224" i="16"/>
  <c r="U224" i="16"/>
  <c r="W224" i="16" s="1"/>
  <c r="V226" i="16" l="1"/>
  <c r="P226" i="16"/>
  <c r="Q226" i="16" s="1"/>
  <c r="O227" i="16"/>
  <c r="S227" i="16" s="1"/>
  <c r="T225" i="16"/>
  <c r="U225" i="16"/>
  <c r="W225" i="16" s="1"/>
  <c r="V227" i="16" l="1"/>
  <c r="P227" i="16"/>
  <c r="Q227" i="16" s="1"/>
  <c r="O228" i="16"/>
  <c r="S228" i="16" s="1"/>
  <c r="T226" i="16"/>
  <c r="U226" i="16"/>
  <c r="W226" i="16" s="1"/>
  <c r="V228" i="16" l="1"/>
  <c r="P228" i="16"/>
  <c r="Q228" i="16" s="1"/>
  <c r="O229" i="16"/>
  <c r="S229" i="16" s="1"/>
  <c r="T227" i="16"/>
  <c r="U227" i="16"/>
  <c r="W227" i="16" s="1"/>
  <c r="V229" i="16" l="1"/>
  <c r="P229" i="16"/>
  <c r="Q229" i="16" s="1"/>
  <c r="O230" i="16"/>
  <c r="S230" i="16" s="1"/>
  <c r="T228" i="16"/>
  <c r="U228" i="16"/>
  <c r="W228" i="16" s="1"/>
  <c r="V230" i="16" l="1"/>
  <c r="P230" i="16"/>
  <c r="Q230" i="16" s="1"/>
  <c r="O231" i="16"/>
  <c r="S231" i="16" s="1"/>
  <c r="T229" i="16"/>
  <c r="U229" i="16"/>
  <c r="W229" i="16" s="1"/>
  <c r="V231" i="16" l="1"/>
  <c r="P231" i="16"/>
  <c r="Q231" i="16" s="1"/>
  <c r="O232" i="16"/>
  <c r="S232" i="16" s="1"/>
  <c r="T230" i="16"/>
  <c r="U230" i="16"/>
  <c r="W230" i="16" s="1"/>
  <c r="V232" i="16" l="1"/>
  <c r="P232" i="16"/>
  <c r="Q232" i="16" s="1"/>
  <c r="O233" i="16"/>
  <c r="S233" i="16" s="1"/>
  <c r="T231" i="16"/>
  <c r="U231" i="16"/>
  <c r="W231" i="16" s="1"/>
  <c r="V233" i="16" l="1"/>
  <c r="P233" i="16"/>
  <c r="Q233" i="16" s="1"/>
  <c r="O234" i="16"/>
  <c r="S234" i="16" s="1"/>
  <c r="T232" i="16"/>
  <c r="U232" i="16"/>
  <c r="W232" i="16" s="1"/>
  <c r="V234" i="16" l="1"/>
  <c r="P234" i="16"/>
  <c r="Q234" i="16" s="1"/>
  <c r="O235" i="16"/>
  <c r="S235" i="16" s="1"/>
  <c r="T233" i="16"/>
  <c r="U233" i="16"/>
  <c r="W233" i="16" s="1"/>
  <c r="V235" i="16" l="1"/>
  <c r="P235" i="16"/>
  <c r="Q235" i="16" s="1"/>
  <c r="O236" i="16"/>
  <c r="S236" i="16" s="1"/>
  <c r="T234" i="16"/>
  <c r="U234" i="16"/>
  <c r="W234" i="16" s="1"/>
  <c r="V236" i="16" l="1"/>
  <c r="P236" i="16"/>
  <c r="Q236" i="16" s="1"/>
  <c r="O237" i="16"/>
  <c r="S237" i="16" s="1"/>
  <c r="T235" i="16"/>
  <c r="U235" i="16"/>
  <c r="W235" i="16" s="1"/>
  <c r="V237" i="16" l="1"/>
  <c r="P237" i="16"/>
  <c r="Q237" i="16" s="1"/>
  <c r="O238" i="16"/>
  <c r="S238" i="16" s="1"/>
  <c r="T236" i="16"/>
  <c r="U236" i="16"/>
  <c r="W236" i="16" s="1"/>
  <c r="V238" i="16" l="1"/>
  <c r="P238" i="16"/>
  <c r="Q238" i="16" s="1"/>
  <c r="O239" i="16"/>
  <c r="S239" i="16" s="1"/>
  <c r="T237" i="16"/>
  <c r="U237" i="16"/>
  <c r="W237" i="16" s="1"/>
  <c r="V239" i="16" l="1"/>
  <c r="P239" i="16"/>
  <c r="Q239" i="16" s="1"/>
  <c r="O240" i="16"/>
  <c r="S240" i="16" s="1"/>
  <c r="T238" i="16"/>
  <c r="U238" i="16"/>
  <c r="W238" i="16" s="1"/>
  <c r="V240" i="16" l="1"/>
  <c r="P240" i="16"/>
  <c r="Q240" i="16" s="1"/>
  <c r="O241" i="16"/>
  <c r="S241" i="16" s="1"/>
  <c r="U239" i="16"/>
  <c r="W239" i="16" s="1"/>
  <c r="T239" i="16"/>
  <c r="V241" i="16" l="1"/>
  <c r="P241" i="16"/>
  <c r="Q241" i="16" s="1"/>
  <c r="O242" i="16"/>
  <c r="S242" i="16" s="1"/>
  <c r="T240" i="16"/>
  <c r="U240" i="16"/>
  <c r="W240" i="16" s="1"/>
  <c r="V242" i="16" l="1"/>
  <c r="P242" i="16"/>
  <c r="Q242" i="16" s="1"/>
  <c r="O243" i="16"/>
  <c r="S243" i="16" s="1"/>
  <c r="T241" i="16"/>
  <c r="U241" i="16"/>
  <c r="W241" i="16" s="1"/>
  <c r="V243" i="16" l="1"/>
  <c r="P243" i="16"/>
  <c r="Q243" i="16" s="1"/>
  <c r="O244" i="16"/>
  <c r="S244" i="16" s="1"/>
  <c r="T242" i="16"/>
  <c r="U242" i="16"/>
  <c r="W242" i="16" s="1"/>
  <c r="V244" i="16" l="1"/>
  <c r="P244" i="16"/>
  <c r="Q244" i="16" s="1"/>
  <c r="O245" i="16"/>
  <c r="S245" i="16" s="1"/>
  <c r="T243" i="16"/>
  <c r="U243" i="16"/>
  <c r="W243" i="16" s="1"/>
  <c r="V245" i="16" l="1"/>
  <c r="P245" i="16"/>
  <c r="Q245" i="16" s="1"/>
  <c r="O246" i="16"/>
  <c r="S246" i="16" s="1"/>
  <c r="T244" i="16"/>
  <c r="U244" i="16"/>
  <c r="W244" i="16" s="1"/>
  <c r="V246" i="16" l="1"/>
  <c r="P246" i="16"/>
  <c r="Q246" i="16" s="1"/>
  <c r="O247" i="16"/>
  <c r="S247" i="16" s="1"/>
  <c r="T245" i="16"/>
  <c r="U245" i="16"/>
  <c r="W245" i="16" s="1"/>
  <c r="V247" i="16" l="1"/>
  <c r="P247" i="16"/>
  <c r="Q247" i="16" s="1"/>
  <c r="O248" i="16"/>
  <c r="S248" i="16" s="1"/>
  <c r="T246" i="16"/>
  <c r="U246" i="16"/>
  <c r="W246" i="16" s="1"/>
  <c r="V248" i="16" l="1"/>
  <c r="P248" i="16"/>
  <c r="Q248" i="16" s="1"/>
  <c r="O249" i="16"/>
  <c r="S249" i="16" s="1"/>
  <c r="T247" i="16"/>
  <c r="U247" i="16"/>
  <c r="W247" i="16" s="1"/>
  <c r="V249" i="16" l="1"/>
  <c r="P249" i="16"/>
  <c r="Q249" i="16" s="1"/>
  <c r="O250" i="16"/>
  <c r="S250" i="16" s="1"/>
  <c r="T248" i="16"/>
  <c r="U248" i="16"/>
  <c r="W248" i="16" s="1"/>
  <c r="V250" i="16" l="1"/>
  <c r="P250" i="16"/>
  <c r="Q250" i="16" s="1"/>
  <c r="O251" i="16"/>
  <c r="S251" i="16" s="1"/>
  <c r="T249" i="16"/>
  <c r="U249" i="16"/>
  <c r="W249" i="16" s="1"/>
  <c r="V251" i="16" l="1"/>
  <c r="P251" i="16"/>
  <c r="Q251" i="16" s="1"/>
  <c r="O252" i="16"/>
  <c r="S252" i="16" s="1"/>
  <c r="T250" i="16"/>
  <c r="U250" i="16"/>
  <c r="W250" i="16" s="1"/>
  <c r="V252" i="16" l="1"/>
  <c r="P252" i="16"/>
  <c r="Q252" i="16" s="1"/>
  <c r="O253" i="16"/>
  <c r="S253" i="16" s="1"/>
  <c r="T251" i="16"/>
  <c r="U251" i="16"/>
  <c r="W251" i="16" s="1"/>
  <c r="V253" i="16" l="1"/>
  <c r="P253" i="16"/>
  <c r="Q253" i="16" s="1"/>
  <c r="O254" i="16"/>
  <c r="S254" i="16" s="1"/>
  <c r="T252" i="16"/>
  <c r="U252" i="16"/>
  <c r="W252" i="16" s="1"/>
  <c r="V254" i="16" l="1"/>
  <c r="P254" i="16"/>
  <c r="Q254" i="16" s="1"/>
  <c r="O255" i="16"/>
  <c r="S255" i="16" s="1"/>
  <c r="T253" i="16"/>
  <c r="U253" i="16"/>
  <c r="W253" i="16" s="1"/>
  <c r="V255" i="16" l="1"/>
  <c r="P255" i="16"/>
  <c r="Q255" i="16" s="1"/>
  <c r="O256" i="16"/>
  <c r="S256" i="16" s="1"/>
  <c r="T254" i="16"/>
  <c r="U254" i="16"/>
  <c r="W254" i="16" s="1"/>
  <c r="V256" i="16" l="1"/>
  <c r="P256" i="16"/>
  <c r="Q256" i="16" s="1"/>
  <c r="O257" i="16"/>
  <c r="S257" i="16" s="1"/>
  <c r="T255" i="16"/>
  <c r="U255" i="16"/>
  <c r="W255" i="16" s="1"/>
  <c r="V257" i="16" l="1"/>
  <c r="P257" i="16"/>
  <c r="Q257" i="16" s="1"/>
  <c r="O258" i="16"/>
  <c r="S258" i="16" s="1"/>
  <c r="T256" i="16"/>
  <c r="U256" i="16"/>
  <c r="W256" i="16" s="1"/>
  <c r="V258" i="16" l="1"/>
  <c r="P258" i="16"/>
  <c r="Q258" i="16" s="1"/>
  <c r="O259" i="16"/>
  <c r="S259" i="16" s="1"/>
  <c r="T257" i="16"/>
  <c r="U257" i="16"/>
  <c r="W257" i="16" s="1"/>
  <c r="V259" i="16" l="1"/>
  <c r="P259" i="16"/>
  <c r="Q259" i="16" s="1"/>
  <c r="O260" i="16"/>
  <c r="S260" i="16" s="1"/>
  <c r="T258" i="16"/>
  <c r="U258" i="16"/>
  <c r="W258" i="16" s="1"/>
  <c r="V260" i="16" l="1"/>
  <c r="P260" i="16"/>
  <c r="Q260" i="16" s="1"/>
  <c r="O261" i="16"/>
  <c r="S261" i="16" s="1"/>
  <c r="T259" i="16"/>
  <c r="U259" i="16"/>
  <c r="W259" i="16" s="1"/>
  <c r="V261" i="16" l="1"/>
  <c r="P261" i="16"/>
  <c r="Q261" i="16" s="1"/>
  <c r="O262" i="16"/>
  <c r="S262" i="16" s="1"/>
  <c r="T260" i="16"/>
  <c r="U260" i="16"/>
  <c r="W260" i="16" s="1"/>
  <c r="V262" i="16" l="1"/>
  <c r="P262" i="16"/>
  <c r="Q262" i="16" s="1"/>
  <c r="O263" i="16"/>
  <c r="S263" i="16" s="1"/>
  <c r="T261" i="16"/>
  <c r="U261" i="16"/>
  <c r="W261" i="16" s="1"/>
  <c r="P263" i="16" l="1"/>
  <c r="Q263" i="16" s="1"/>
  <c r="V263" i="16"/>
  <c r="O264" i="16"/>
  <c r="S264" i="16" s="1"/>
  <c r="T262" i="16"/>
  <c r="U262" i="16"/>
  <c r="W262" i="16" s="1"/>
  <c r="V264" i="16" l="1"/>
  <c r="P264" i="16"/>
  <c r="Q264" i="16" s="1"/>
  <c r="O265" i="16"/>
  <c r="S265" i="16" s="1"/>
  <c r="T263" i="16"/>
  <c r="U263" i="16"/>
  <c r="W263" i="16" s="1"/>
  <c r="T264" i="16" l="1"/>
  <c r="U264" i="16"/>
  <c r="W264" i="16" s="1"/>
  <c r="V265" i="16"/>
  <c r="P265" i="16"/>
  <c r="Q265" i="16" s="1"/>
  <c r="O266" i="16"/>
  <c r="S266" i="16" s="1"/>
  <c r="V266" i="16" l="1"/>
  <c r="P266" i="16"/>
  <c r="Q266" i="16" s="1"/>
  <c r="O267" i="16"/>
  <c r="S267" i="16" s="1"/>
  <c r="T265" i="16"/>
  <c r="U265" i="16"/>
  <c r="W265" i="16" s="1"/>
  <c r="P267" i="16" l="1"/>
  <c r="Q267" i="16" s="1"/>
  <c r="V267" i="16"/>
  <c r="O268" i="16"/>
  <c r="S268" i="16" s="1"/>
  <c r="T266" i="16"/>
  <c r="U266" i="16"/>
  <c r="W266" i="16" s="1"/>
  <c r="V268" i="16" l="1"/>
  <c r="P268" i="16"/>
  <c r="Q268" i="16" s="1"/>
  <c r="O269" i="16"/>
  <c r="S269" i="16" s="1"/>
  <c r="T267" i="16"/>
  <c r="U267" i="16"/>
  <c r="W267" i="16" s="1"/>
  <c r="V269" i="16" l="1"/>
  <c r="P269" i="16"/>
  <c r="Q269" i="16" s="1"/>
  <c r="O270" i="16"/>
  <c r="S270" i="16" s="1"/>
  <c r="T268" i="16"/>
  <c r="U268" i="16"/>
  <c r="W268" i="16" s="1"/>
  <c r="V270" i="16" l="1"/>
  <c r="P270" i="16"/>
  <c r="Q270" i="16" s="1"/>
  <c r="O271" i="16"/>
  <c r="S271" i="16" s="1"/>
  <c r="T269" i="16"/>
  <c r="U269" i="16"/>
  <c r="W269" i="16" s="1"/>
  <c r="P271" i="16" l="1"/>
  <c r="Q271" i="16" s="1"/>
  <c r="V271" i="16"/>
  <c r="O272" i="16"/>
  <c r="S272" i="16" s="1"/>
  <c r="T270" i="16"/>
  <c r="U270" i="16"/>
  <c r="W270" i="16" s="1"/>
  <c r="V272" i="16" l="1"/>
  <c r="P272" i="16"/>
  <c r="Q272" i="16" s="1"/>
  <c r="O273" i="16"/>
  <c r="S273" i="16" s="1"/>
  <c r="U271" i="16"/>
  <c r="W271" i="16" s="1"/>
  <c r="T271" i="16"/>
  <c r="V273" i="16" l="1"/>
  <c r="P273" i="16"/>
  <c r="Q273" i="16" s="1"/>
  <c r="O274" i="16"/>
  <c r="S274" i="16" s="1"/>
  <c r="T272" i="16"/>
  <c r="U272" i="16"/>
  <c r="W272" i="16" s="1"/>
  <c r="V274" i="16" l="1"/>
  <c r="P274" i="16"/>
  <c r="Q274" i="16" s="1"/>
  <c r="O275" i="16"/>
  <c r="S275" i="16" s="1"/>
  <c r="T273" i="16"/>
  <c r="U273" i="16"/>
  <c r="W273" i="16" s="1"/>
  <c r="P275" i="16" l="1"/>
  <c r="Q275" i="16" s="1"/>
  <c r="V275" i="16"/>
  <c r="O276" i="16"/>
  <c r="S276" i="16" s="1"/>
  <c r="T274" i="16"/>
  <c r="U274" i="16"/>
  <c r="W274" i="16" s="1"/>
  <c r="V276" i="16" l="1"/>
  <c r="P276" i="16"/>
  <c r="Q276" i="16" s="1"/>
  <c r="O277" i="16"/>
  <c r="S277" i="16" s="1"/>
  <c r="T275" i="16"/>
  <c r="U275" i="16"/>
  <c r="W275" i="16" s="1"/>
  <c r="V277" i="16" l="1"/>
  <c r="P277" i="16"/>
  <c r="Q277" i="16" s="1"/>
  <c r="O278" i="16"/>
  <c r="S278" i="16" s="1"/>
  <c r="T276" i="16"/>
  <c r="U276" i="16"/>
  <c r="W276" i="16" s="1"/>
  <c r="V278" i="16" l="1"/>
  <c r="P278" i="16"/>
  <c r="Q278" i="16" s="1"/>
  <c r="O279" i="16"/>
  <c r="S279" i="16" s="1"/>
  <c r="T277" i="16"/>
  <c r="U277" i="16"/>
  <c r="W277" i="16" s="1"/>
  <c r="P279" i="16" l="1"/>
  <c r="Q279" i="16" s="1"/>
  <c r="V279" i="16"/>
  <c r="O280" i="16"/>
  <c r="S280" i="16" s="1"/>
  <c r="T278" i="16"/>
  <c r="U278" i="16"/>
  <c r="W278" i="16" s="1"/>
  <c r="V280" i="16" l="1"/>
  <c r="P280" i="16"/>
  <c r="Q280" i="16" s="1"/>
  <c r="O281" i="16"/>
  <c r="S281" i="16" s="1"/>
  <c r="T279" i="16"/>
  <c r="U279" i="16"/>
  <c r="W279" i="16" s="1"/>
  <c r="V281" i="16" l="1"/>
  <c r="P281" i="16"/>
  <c r="Q281" i="16" s="1"/>
  <c r="O282" i="16"/>
  <c r="S282" i="16" s="1"/>
  <c r="T280" i="16"/>
  <c r="U280" i="16"/>
  <c r="W280" i="16" s="1"/>
  <c r="V282" i="16" l="1"/>
  <c r="P282" i="16"/>
  <c r="Q282" i="16" s="1"/>
  <c r="O283" i="16"/>
  <c r="S283" i="16" s="1"/>
  <c r="T281" i="16"/>
  <c r="U281" i="16"/>
  <c r="W281" i="16" s="1"/>
  <c r="P283" i="16" l="1"/>
  <c r="Q283" i="16" s="1"/>
  <c r="V283" i="16"/>
  <c r="O284" i="16"/>
  <c r="S284" i="16" s="1"/>
  <c r="T282" i="16"/>
  <c r="U282" i="16"/>
  <c r="W282" i="16" s="1"/>
  <c r="V284" i="16" l="1"/>
  <c r="P284" i="16"/>
  <c r="Q284" i="16" s="1"/>
  <c r="O285" i="16"/>
  <c r="S285" i="16" s="1"/>
  <c r="T283" i="16"/>
  <c r="U283" i="16"/>
  <c r="W283" i="16" s="1"/>
  <c r="V285" i="16" l="1"/>
  <c r="P285" i="16"/>
  <c r="Q285" i="16" s="1"/>
  <c r="O286" i="16"/>
  <c r="S286" i="16" s="1"/>
  <c r="T284" i="16"/>
  <c r="U284" i="16"/>
  <c r="W284" i="16" s="1"/>
  <c r="V286" i="16" l="1"/>
  <c r="P286" i="16"/>
  <c r="Q286" i="16" s="1"/>
  <c r="O287" i="16"/>
  <c r="S287" i="16" s="1"/>
  <c r="T285" i="16"/>
  <c r="U285" i="16"/>
  <c r="W285" i="16" s="1"/>
  <c r="P287" i="16" l="1"/>
  <c r="Q287" i="16" s="1"/>
  <c r="V287" i="16"/>
  <c r="O288" i="16"/>
  <c r="S288" i="16" s="1"/>
  <c r="T286" i="16"/>
  <c r="U286" i="16"/>
  <c r="W286" i="16" s="1"/>
  <c r="V288" i="16" l="1"/>
  <c r="P288" i="16"/>
  <c r="Q288" i="16" s="1"/>
  <c r="O289" i="16"/>
  <c r="S289" i="16" s="1"/>
  <c r="T287" i="16"/>
  <c r="U287" i="16"/>
  <c r="W287" i="16" s="1"/>
  <c r="V289" i="16" l="1"/>
  <c r="P289" i="16"/>
  <c r="Q289" i="16" s="1"/>
  <c r="O290" i="16"/>
  <c r="S290" i="16" s="1"/>
  <c r="T288" i="16"/>
  <c r="U288" i="16"/>
  <c r="W288" i="16" s="1"/>
  <c r="V290" i="16" l="1"/>
  <c r="P290" i="16"/>
  <c r="Q290" i="16" s="1"/>
  <c r="O291" i="16"/>
  <c r="S291" i="16" s="1"/>
  <c r="T289" i="16"/>
  <c r="U289" i="16"/>
  <c r="W289" i="16" s="1"/>
  <c r="P291" i="16" l="1"/>
  <c r="Q291" i="16" s="1"/>
  <c r="V291" i="16"/>
  <c r="O292" i="16"/>
  <c r="S292" i="16" s="1"/>
  <c r="T290" i="16"/>
  <c r="U290" i="16"/>
  <c r="W290" i="16" s="1"/>
  <c r="V292" i="16" l="1"/>
  <c r="P292" i="16"/>
  <c r="Q292" i="16" s="1"/>
  <c r="O293" i="16"/>
  <c r="S293" i="16" s="1"/>
  <c r="T291" i="16"/>
  <c r="U291" i="16"/>
  <c r="W291" i="16" s="1"/>
  <c r="V293" i="16" l="1"/>
  <c r="P293" i="16"/>
  <c r="Q293" i="16" s="1"/>
  <c r="O294" i="16"/>
  <c r="S294" i="16" s="1"/>
  <c r="T292" i="16"/>
  <c r="U292" i="16"/>
  <c r="W292" i="16" s="1"/>
  <c r="V294" i="16" l="1"/>
  <c r="P294" i="16"/>
  <c r="Q294" i="16" s="1"/>
  <c r="O295" i="16"/>
  <c r="S295" i="16" s="1"/>
  <c r="T293" i="16"/>
  <c r="U293" i="16"/>
  <c r="W293" i="16" s="1"/>
  <c r="P295" i="16" l="1"/>
  <c r="Q295" i="16" s="1"/>
  <c r="V295" i="16"/>
  <c r="O296" i="16"/>
  <c r="S296" i="16" s="1"/>
  <c r="T294" i="16"/>
  <c r="U294" i="16"/>
  <c r="W294" i="16" s="1"/>
  <c r="V296" i="16" l="1"/>
  <c r="P296" i="16"/>
  <c r="Q296" i="16" s="1"/>
  <c r="O297" i="16"/>
  <c r="S297" i="16" s="1"/>
  <c r="T295" i="16"/>
  <c r="U295" i="16"/>
  <c r="W295" i="16" s="1"/>
  <c r="V297" i="16" l="1"/>
  <c r="P297" i="16"/>
  <c r="Q297" i="16" s="1"/>
  <c r="O298" i="16"/>
  <c r="S298" i="16" s="1"/>
  <c r="T296" i="16"/>
  <c r="U296" i="16"/>
  <c r="W296" i="16" s="1"/>
  <c r="V298" i="16" l="1"/>
  <c r="P298" i="16"/>
  <c r="Q298" i="16" s="1"/>
  <c r="O299" i="16"/>
  <c r="S299" i="16" s="1"/>
  <c r="T297" i="16"/>
  <c r="U297" i="16"/>
  <c r="W297" i="16" s="1"/>
  <c r="V299" i="16" l="1"/>
  <c r="P299" i="16"/>
  <c r="Q299" i="16" s="1"/>
  <c r="O300" i="16"/>
  <c r="S300" i="16" s="1"/>
  <c r="T298" i="16"/>
  <c r="U298" i="16"/>
  <c r="W298" i="16" s="1"/>
  <c r="V300" i="16" l="1"/>
  <c r="P300" i="16"/>
  <c r="Q300" i="16" s="1"/>
  <c r="O301" i="16"/>
  <c r="S301" i="16" s="1"/>
  <c r="T299" i="16"/>
  <c r="U299" i="16"/>
  <c r="W299" i="16" s="1"/>
  <c r="V301" i="16" l="1"/>
  <c r="P301" i="16"/>
  <c r="Q301" i="16" s="1"/>
  <c r="O302" i="16"/>
  <c r="S302" i="16" s="1"/>
  <c r="T300" i="16"/>
  <c r="U300" i="16"/>
  <c r="W300" i="16" s="1"/>
  <c r="V302" i="16" l="1"/>
  <c r="P302" i="16"/>
  <c r="Q302" i="16" s="1"/>
  <c r="O303" i="16"/>
  <c r="S303" i="16" s="1"/>
  <c r="T301" i="16"/>
  <c r="U301" i="16"/>
  <c r="W301" i="16" s="1"/>
  <c r="T302" i="16" l="1"/>
  <c r="U302" i="16"/>
  <c r="W302" i="16" s="1"/>
  <c r="V303" i="16"/>
  <c r="P303" i="16"/>
  <c r="Q303" i="16" s="1"/>
  <c r="O304" i="16"/>
  <c r="S304" i="16" s="1"/>
  <c r="V304" i="16" l="1"/>
  <c r="P304" i="16"/>
  <c r="Q304" i="16" s="1"/>
  <c r="O305" i="16"/>
  <c r="S305" i="16" s="1"/>
  <c r="U303" i="16"/>
  <c r="W303" i="16" s="1"/>
  <c r="T303" i="16"/>
  <c r="V305" i="16" l="1"/>
  <c r="P305" i="16"/>
  <c r="Q305" i="16" s="1"/>
  <c r="O306" i="16"/>
  <c r="S306" i="16" s="1"/>
  <c r="T304" i="16"/>
  <c r="U304" i="16"/>
  <c r="W304" i="16" s="1"/>
  <c r="V306" i="16" l="1"/>
  <c r="P306" i="16"/>
  <c r="Q306" i="16" s="1"/>
  <c r="O307" i="16"/>
  <c r="S307" i="16" s="1"/>
  <c r="T305" i="16"/>
  <c r="U305" i="16"/>
  <c r="W305" i="16" s="1"/>
  <c r="P307" i="16" l="1"/>
  <c r="Q307" i="16" s="1"/>
  <c r="V307" i="16"/>
  <c r="O308" i="16"/>
  <c r="S308" i="16" s="1"/>
  <c r="T306" i="16"/>
  <c r="U306" i="16"/>
  <c r="W306" i="16" s="1"/>
  <c r="V308" i="16" l="1"/>
  <c r="P308" i="16"/>
  <c r="Q308" i="16" s="1"/>
  <c r="O309" i="16"/>
  <c r="S309" i="16" s="1"/>
  <c r="T307" i="16"/>
  <c r="U307" i="16"/>
  <c r="W307" i="16" s="1"/>
  <c r="V309" i="16" l="1"/>
  <c r="P309" i="16"/>
  <c r="Q309" i="16" s="1"/>
  <c r="O310" i="16"/>
  <c r="S310" i="16" s="1"/>
  <c r="T308" i="16"/>
  <c r="U308" i="16"/>
  <c r="W308" i="16" s="1"/>
  <c r="V310" i="16" l="1"/>
  <c r="P310" i="16"/>
  <c r="Q310" i="16" s="1"/>
  <c r="O311" i="16"/>
  <c r="S311" i="16" s="1"/>
  <c r="T309" i="16"/>
  <c r="U309" i="16"/>
  <c r="W309" i="16" s="1"/>
  <c r="V311" i="16" l="1"/>
  <c r="P311" i="16"/>
  <c r="Q311" i="16" s="1"/>
  <c r="O312" i="16"/>
  <c r="S312" i="16" s="1"/>
  <c r="T310" i="16"/>
  <c r="U310" i="16"/>
  <c r="W310" i="16" s="1"/>
  <c r="V312" i="16" l="1"/>
  <c r="P312" i="16"/>
  <c r="Q312" i="16" s="1"/>
  <c r="O313" i="16"/>
  <c r="S313" i="16" s="1"/>
  <c r="T311" i="16"/>
  <c r="U311" i="16"/>
  <c r="W311" i="16" s="1"/>
  <c r="V313" i="16" l="1"/>
  <c r="P313" i="16"/>
  <c r="Q313" i="16" s="1"/>
  <c r="O314" i="16"/>
  <c r="S314" i="16" s="1"/>
  <c r="T312" i="16"/>
  <c r="U312" i="16"/>
  <c r="W312" i="16" s="1"/>
  <c r="V314" i="16" l="1"/>
  <c r="P314" i="16"/>
  <c r="Q314" i="16" s="1"/>
  <c r="O315" i="16"/>
  <c r="S315" i="16" s="1"/>
  <c r="T313" i="16"/>
  <c r="U313" i="16"/>
  <c r="W313" i="16" s="1"/>
  <c r="P315" i="16" l="1"/>
  <c r="Q315" i="16" s="1"/>
  <c r="V315" i="16"/>
  <c r="O316" i="16"/>
  <c r="S316" i="16" s="1"/>
  <c r="T314" i="16"/>
  <c r="U314" i="16"/>
  <c r="W314" i="16" s="1"/>
  <c r="V316" i="16" l="1"/>
  <c r="P316" i="16"/>
  <c r="Q316" i="16" s="1"/>
  <c r="O317" i="16"/>
  <c r="S317" i="16" s="1"/>
  <c r="T315" i="16"/>
  <c r="U315" i="16"/>
  <c r="W315" i="16" s="1"/>
  <c r="V317" i="16" l="1"/>
  <c r="P317" i="16"/>
  <c r="Q317" i="16" s="1"/>
  <c r="O318" i="16"/>
  <c r="S318" i="16" s="1"/>
  <c r="T316" i="16"/>
  <c r="U316" i="16"/>
  <c r="W316" i="16" s="1"/>
  <c r="V318" i="16" l="1"/>
  <c r="P318" i="16"/>
  <c r="Q318" i="16" s="1"/>
  <c r="O319" i="16"/>
  <c r="S319" i="16" s="1"/>
  <c r="T317" i="16"/>
  <c r="U317" i="16"/>
  <c r="W317" i="16" s="1"/>
  <c r="P319" i="16" l="1"/>
  <c r="Q319" i="16" s="1"/>
  <c r="V319" i="16"/>
  <c r="O320" i="16"/>
  <c r="S320" i="16" s="1"/>
  <c r="T318" i="16"/>
  <c r="U318" i="16"/>
  <c r="W318" i="16" s="1"/>
  <c r="V320" i="16" l="1"/>
  <c r="P320" i="16"/>
  <c r="Q320" i="16" s="1"/>
  <c r="O321" i="16"/>
  <c r="S321" i="16" s="1"/>
  <c r="T319" i="16"/>
  <c r="U319" i="16"/>
  <c r="W319" i="16" s="1"/>
  <c r="V321" i="16" l="1"/>
  <c r="P321" i="16"/>
  <c r="Q321" i="16" s="1"/>
  <c r="O322" i="16"/>
  <c r="S322" i="16" s="1"/>
  <c r="T320" i="16"/>
  <c r="U320" i="16"/>
  <c r="W320" i="16" s="1"/>
  <c r="V322" i="16" l="1"/>
  <c r="P322" i="16"/>
  <c r="Q322" i="16" s="1"/>
  <c r="O323" i="16"/>
  <c r="S323" i="16" s="1"/>
  <c r="T321" i="16"/>
  <c r="U321" i="16"/>
  <c r="W321" i="16" s="1"/>
  <c r="P323" i="16" l="1"/>
  <c r="Q323" i="16" s="1"/>
  <c r="V323" i="16"/>
  <c r="O324" i="16"/>
  <c r="S324" i="16" s="1"/>
  <c r="T322" i="16"/>
  <c r="U322" i="16"/>
  <c r="W322" i="16" s="1"/>
  <c r="V324" i="16" l="1"/>
  <c r="P324" i="16"/>
  <c r="Q324" i="16" s="1"/>
  <c r="O325" i="16"/>
  <c r="S325" i="16" s="1"/>
  <c r="T323" i="16"/>
  <c r="U323" i="16"/>
  <c r="W323" i="16" s="1"/>
  <c r="V325" i="16" l="1"/>
  <c r="P325" i="16"/>
  <c r="Q325" i="16" s="1"/>
  <c r="O326" i="16"/>
  <c r="S326" i="16" s="1"/>
  <c r="T324" i="16"/>
  <c r="U324" i="16"/>
  <c r="W324" i="16" s="1"/>
  <c r="V326" i="16" l="1"/>
  <c r="P326" i="16"/>
  <c r="Q326" i="16" s="1"/>
  <c r="O327" i="16"/>
  <c r="S327" i="16" s="1"/>
  <c r="T325" i="16"/>
  <c r="U325" i="16"/>
  <c r="W325" i="16" s="1"/>
  <c r="V327" i="16" l="1"/>
  <c r="P327" i="16"/>
  <c r="Q327" i="16" s="1"/>
  <c r="O328" i="16"/>
  <c r="S328" i="16" s="1"/>
  <c r="T326" i="16"/>
  <c r="U326" i="16"/>
  <c r="W326" i="16" s="1"/>
  <c r="V328" i="16" l="1"/>
  <c r="P328" i="16"/>
  <c r="Q328" i="16" s="1"/>
  <c r="O329" i="16"/>
  <c r="S329" i="16" s="1"/>
  <c r="T327" i="16"/>
  <c r="U327" i="16"/>
  <c r="W327" i="16" s="1"/>
  <c r="V329" i="16" l="1"/>
  <c r="P329" i="16"/>
  <c r="Q329" i="16" s="1"/>
  <c r="O330" i="16"/>
  <c r="S330" i="16" s="1"/>
  <c r="T328" i="16"/>
  <c r="U328" i="16"/>
  <c r="W328" i="16" s="1"/>
  <c r="V330" i="16" l="1"/>
  <c r="P330" i="16"/>
  <c r="Q330" i="16" s="1"/>
  <c r="O331" i="16"/>
  <c r="S331" i="16" s="1"/>
  <c r="T329" i="16"/>
  <c r="U329" i="16"/>
  <c r="W329" i="16" s="1"/>
  <c r="P331" i="16" l="1"/>
  <c r="Q331" i="16" s="1"/>
  <c r="V331" i="16"/>
  <c r="O332" i="16"/>
  <c r="S332" i="16" s="1"/>
  <c r="T330" i="16"/>
  <c r="U330" i="16"/>
  <c r="W330" i="16" s="1"/>
  <c r="V332" i="16" l="1"/>
  <c r="P332" i="16"/>
  <c r="Q332" i="16" s="1"/>
  <c r="O333" i="16"/>
  <c r="S333" i="16" s="1"/>
  <c r="T331" i="16"/>
  <c r="U331" i="16"/>
  <c r="W331" i="16" s="1"/>
  <c r="V333" i="16" l="1"/>
  <c r="P333" i="16"/>
  <c r="Q333" i="16" s="1"/>
  <c r="O334" i="16"/>
  <c r="S334" i="16" s="1"/>
  <c r="T332" i="16"/>
  <c r="U332" i="16"/>
  <c r="W332" i="16" s="1"/>
  <c r="V334" i="16" l="1"/>
  <c r="P334" i="16"/>
  <c r="Q334" i="16" s="1"/>
  <c r="O335" i="16"/>
  <c r="S335" i="16" s="1"/>
  <c r="T333" i="16"/>
  <c r="U333" i="16"/>
  <c r="W333" i="16" s="1"/>
  <c r="V335" i="16" l="1"/>
  <c r="P335" i="16"/>
  <c r="Q335" i="16" s="1"/>
  <c r="O336" i="16"/>
  <c r="S336" i="16" s="1"/>
  <c r="T334" i="16"/>
  <c r="U334" i="16"/>
  <c r="W334" i="16" s="1"/>
  <c r="V336" i="16" l="1"/>
  <c r="P336" i="16"/>
  <c r="Q336" i="16" s="1"/>
  <c r="O337" i="16"/>
  <c r="S337" i="16" s="1"/>
  <c r="U335" i="16"/>
  <c r="W335" i="16" s="1"/>
  <c r="T335" i="16"/>
  <c r="V337" i="16" l="1"/>
  <c r="P337" i="16"/>
  <c r="Q337" i="16" s="1"/>
  <c r="O338" i="16"/>
  <c r="S338" i="16" s="1"/>
  <c r="T336" i="16"/>
  <c r="U336" i="16"/>
  <c r="W336" i="16" s="1"/>
  <c r="V338" i="16" l="1"/>
  <c r="P338" i="16"/>
  <c r="Q338" i="16" s="1"/>
  <c r="O339" i="16"/>
  <c r="S339" i="16" s="1"/>
  <c r="T337" i="16"/>
  <c r="U337" i="16"/>
  <c r="W337" i="16" s="1"/>
  <c r="V339" i="16" l="1"/>
  <c r="P339" i="16"/>
  <c r="Q339" i="16" s="1"/>
  <c r="O340" i="16"/>
  <c r="S340" i="16" s="1"/>
  <c r="T338" i="16"/>
  <c r="U338" i="16"/>
  <c r="W338" i="16" s="1"/>
  <c r="V340" i="16" l="1"/>
  <c r="P340" i="16"/>
  <c r="Q340" i="16" s="1"/>
  <c r="O341" i="16"/>
  <c r="S341" i="16" s="1"/>
  <c r="T339" i="16"/>
  <c r="U339" i="16"/>
  <c r="W339" i="16" s="1"/>
  <c r="T340" i="16" l="1"/>
  <c r="U340" i="16"/>
  <c r="W340" i="16" s="1"/>
  <c r="V341" i="16"/>
  <c r="P341" i="16"/>
  <c r="Q341" i="16" s="1"/>
  <c r="O342" i="16"/>
  <c r="S342" i="16" s="1"/>
  <c r="V342" i="16" l="1"/>
  <c r="P342" i="16"/>
  <c r="Q342" i="16" s="1"/>
  <c r="O343" i="16"/>
  <c r="S343" i="16" s="1"/>
  <c r="T341" i="16"/>
  <c r="U341" i="16"/>
  <c r="W341" i="16" s="1"/>
  <c r="P343" i="16" l="1"/>
  <c r="Q343" i="16" s="1"/>
  <c r="V343" i="16"/>
  <c r="O344" i="16"/>
  <c r="S344" i="16" s="1"/>
  <c r="T342" i="16"/>
  <c r="U342" i="16"/>
  <c r="W342" i="16" s="1"/>
  <c r="V344" i="16" l="1"/>
  <c r="P344" i="16"/>
  <c r="Q344" i="16" s="1"/>
  <c r="O345" i="16"/>
  <c r="S345" i="16" s="1"/>
  <c r="T343" i="16"/>
  <c r="U343" i="16"/>
  <c r="W343" i="16" s="1"/>
  <c r="V345" i="16" l="1"/>
  <c r="P345" i="16"/>
  <c r="Q345" i="16" s="1"/>
  <c r="O346" i="16"/>
  <c r="S346" i="16" s="1"/>
  <c r="T344" i="16"/>
  <c r="U344" i="16"/>
  <c r="W344" i="16" s="1"/>
  <c r="V346" i="16" l="1"/>
  <c r="P346" i="16"/>
  <c r="Q346" i="16" s="1"/>
  <c r="O347" i="16"/>
  <c r="S347" i="16" s="1"/>
  <c r="T345" i="16"/>
  <c r="U345" i="16"/>
  <c r="W345" i="16" s="1"/>
  <c r="P347" i="16" l="1"/>
  <c r="Q347" i="16" s="1"/>
  <c r="V347" i="16"/>
  <c r="O348" i="16"/>
  <c r="S348" i="16" s="1"/>
  <c r="T346" i="16"/>
  <c r="U346" i="16"/>
  <c r="W346" i="16" s="1"/>
  <c r="V348" i="16" l="1"/>
  <c r="P348" i="16"/>
  <c r="Q348" i="16" s="1"/>
  <c r="O349" i="16"/>
  <c r="S349" i="16" s="1"/>
  <c r="T347" i="16"/>
  <c r="U347" i="16"/>
  <c r="W347" i="16" s="1"/>
  <c r="T348" i="16" l="1"/>
  <c r="U348" i="16"/>
  <c r="W348" i="16" s="1"/>
  <c r="V349" i="16"/>
  <c r="P349" i="16"/>
  <c r="Q349" i="16" s="1"/>
  <c r="O350" i="16"/>
  <c r="S350" i="16" s="1"/>
  <c r="V350" i="16" l="1"/>
  <c r="P350" i="16"/>
  <c r="Q350" i="16" s="1"/>
  <c r="O351" i="16"/>
  <c r="S351" i="16" s="1"/>
  <c r="T349" i="16"/>
  <c r="U349" i="16"/>
  <c r="W349" i="16" s="1"/>
  <c r="V351" i="16" l="1"/>
  <c r="P351" i="16"/>
  <c r="Q351" i="16" s="1"/>
  <c r="O352" i="16"/>
  <c r="S352" i="16" s="1"/>
  <c r="T350" i="16"/>
  <c r="U350" i="16"/>
  <c r="W350" i="16" s="1"/>
  <c r="V352" i="16" l="1"/>
  <c r="P352" i="16"/>
  <c r="Q352" i="16" s="1"/>
  <c r="O353" i="16"/>
  <c r="S353" i="16" s="1"/>
  <c r="T351" i="16"/>
  <c r="U351" i="16"/>
  <c r="W351" i="16" s="1"/>
  <c r="T352" i="16" l="1"/>
  <c r="U352" i="16"/>
  <c r="W352" i="16" s="1"/>
  <c r="V353" i="16"/>
  <c r="P353" i="16"/>
  <c r="Q353" i="16" s="1"/>
  <c r="O354" i="16"/>
  <c r="S354" i="16" s="1"/>
  <c r="V354" i="16" l="1"/>
  <c r="P354" i="16"/>
  <c r="Q354" i="16" s="1"/>
  <c r="O355" i="16"/>
  <c r="S355" i="16" s="1"/>
  <c r="T353" i="16"/>
  <c r="U353" i="16"/>
  <c r="W353" i="16" s="1"/>
  <c r="P355" i="16" l="1"/>
  <c r="Q355" i="16" s="1"/>
  <c r="V355" i="16"/>
  <c r="O356" i="16"/>
  <c r="S356" i="16" s="1"/>
  <c r="T354" i="16"/>
  <c r="U354" i="16"/>
  <c r="W354" i="16" s="1"/>
  <c r="V356" i="16" l="1"/>
  <c r="P356" i="16"/>
  <c r="Q356" i="16" s="1"/>
  <c r="O357" i="16"/>
  <c r="S357" i="16" s="1"/>
  <c r="T355" i="16"/>
  <c r="U355" i="16"/>
  <c r="W355" i="16" s="1"/>
  <c r="V357" i="16" l="1"/>
  <c r="P357" i="16"/>
  <c r="Q357" i="16" s="1"/>
  <c r="O358" i="16"/>
  <c r="S358" i="16" s="1"/>
  <c r="T356" i="16"/>
  <c r="U356" i="16"/>
  <c r="W356" i="16" s="1"/>
  <c r="V358" i="16" l="1"/>
  <c r="P358" i="16"/>
  <c r="Q358" i="16" s="1"/>
  <c r="O359" i="16"/>
  <c r="S359" i="16" s="1"/>
  <c r="T357" i="16"/>
  <c r="U357" i="16"/>
  <c r="W357" i="16" s="1"/>
  <c r="P359" i="16" l="1"/>
  <c r="Q359" i="16" s="1"/>
  <c r="V359" i="16"/>
  <c r="O360" i="16"/>
  <c r="S360" i="16" s="1"/>
  <c r="T358" i="16"/>
  <c r="U358" i="16"/>
  <c r="W358" i="16" s="1"/>
  <c r="V360" i="16" l="1"/>
  <c r="P360" i="16"/>
  <c r="Q360" i="16" s="1"/>
  <c r="O361" i="16"/>
  <c r="S361" i="16" s="1"/>
  <c r="T359" i="16"/>
  <c r="U359" i="16"/>
  <c r="W359" i="16" s="1"/>
  <c r="V361" i="16" l="1"/>
  <c r="P361" i="16"/>
  <c r="Q361" i="16" s="1"/>
  <c r="O362" i="16"/>
  <c r="S362" i="16" s="1"/>
  <c r="T360" i="16"/>
  <c r="U360" i="16"/>
  <c r="W360" i="16" s="1"/>
  <c r="V362" i="16" l="1"/>
  <c r="P362" i="16"/>
  <c r="Q362" i="16" s="1"/>
  <c r="O363" i="16"/>
  <c r="S363" i="16" s="1"/>
  <c r="T361" i="16"/>
  <c r="U361" i="16"/>
  <c r="W361" i="16" s="1"/>
  <c r="P363" i="16" l="1"/>
  <c r="Q363" i="16" s="1"/>
  <c r="V363" i="16"/>
  <c r="O364" i="16"/>
  <c r="S364" i="16" s="1"/>
  <c r="T362" i="16"/>
  <c r="U362" i="16"/>
  <c r="W362" i="16" s="1"/>
  <c r="V364" i="16" l="1"/>
  <c r="P364" i="16"/>
  <c r="Q364" i="16" s="1"/>
  <c r="O365" i="16"/>
  <c r="S365" i="16" s="1"/>
  <c r="T363" i="16"/>
  <c r="U363" i="16"/>
  <c r="W363" i="16" s="1"/>
  <c r="V365" i="16" l="1"/>
  <c r="P365" i="16"/>
  <c r="Q365" i="16" s="1"/>
  <c r="O366" i="16"/>
  <c r="S366" i="16" s="1"/>
  <c r="T364" i="16"/>
  <c r="U364" i="16"/>
  <c r="W364" i="16" s="1"/>
  <c r="V366" i="16" l="1"/>
  <c r="P366" i="16"/>
  <c r="Q366" i="16" s="1"/>
  <c r="O367" i="16"/>
  <c r="S367" i="16" s="1"/>
  <c r="T365" i="16"/>
  <c r="U365" i="16"/>
  <c r="W365" i="16" s="1"/>
  <c r="V367" i="16" l="1"/>
  <c r="P367" i="16"/>
  <c r="Q367" i="16" s="1"/>
  <c r="O368" i="16"/>
  <c r="S368" i="16" s="1"/>
  <c r="T366" i="16"/>
  <c r="U366" i="16"/>
  <c r="W366" i="16" s="1"/>
  <c r="V368" i="16" l="1"/>
  <c r="P368" i="16"/>
  <c r="Q368" i="16" s="1"/>
  <c r="O369" i="16"/>
  <c r="S369" i="16" s="1"/>
  <c r="U367" i="16"/>
  <c r="W367" i="16" s="1"/>
  <c r="T367" i="16"/>
  <c r="V369" i="16" l="1"/>
  <c r="P369" i="16"/>
  <c r="Q369" i="16" s="1"/>
  <c r="O370" i="16"/>
  <c r="S370" i="16" s="1"/>
  <c r="T368" i="16"/>
  <c r="U368" i="16"/>
  <c r="W368" i="16" s="1"/>
  <c r="V370" i="16" l="1"/>
  <c r="P370" i="16"/>
  <c r="Q370" i="16" s="1"/>
  <c r="O371" i="16"/>
  <c r="S371" i="16" s="1"/>
  <c r="T369" i="16"/>
  <c r="U369" i="16"/>
  <c r="W369" i="16" s="1"/>
  <c r="P371" i="16" l="1"/>
  <c r="Q371" i="16" s="1"/>
  <c r="V371" i="16"/>
  <c r="O372" i="16"/>
  <c r="S372" i="16" s="1"/>
  <c r="T370" i="16"/>
  <c r="U370" i="16"/>
  <c r="W370" i="16" s="1"/>
  <c r="V372" i="16" l="1"/>
  <c r="P372" i="16"/>
  <c r="Q372" i="16" s="1"/>
  <c r="O373" i="16"/>
  <c r="S373" i="16" s="1"/>
  <c r="T371" i="16"/>
  <c r="U371" i="16"/>
  <c r="W371" i="16" s="1"/>
  <c r="O374" i="16" l="1"/>
  <c r="S374" i="16" s="1"/>
  <c r="V373" i="16"/>
  <c r="P373" i="16"/>
  <c r="Q373" i="16" s="1"/>
  <c r="T372" i="16"/>
  <c r="U372" i="16"/>
  <c r="W372" i="16" s="1"/>
  <c r="T373" i="16" l="1"/>
  <c r="U373" i="16"/>
  <c r="W373" i="16" s="1"/>
  <c r="V374" i="16"/>
  <c r="P374" i="16"/>
  <c r="Q374" i="16" s="1"/>
  <c r="T374" i="16" l="1"/>
  <c r="U374" i="16"/>
  <c r="W374" i="16" s="1"/>
  <c r="Q15" i="16" l="1"/>
  <c r="D365" i="18" l="1"/>
  <c r="Q4" i="18"/>
  <c r="P365" i="18"/>
  <c r="O365" i="18"/>
  <c r="R7" i="18"/>
  <c r="R5" i="18"/>
  <c r="R8" i="18"/>
  <c r="R4" i="18"/>
  <c r="R6" i="18"/>
  <c r="Q5" i="18" l="1"/>
  <c r="N365" i="18"/>
  <c r="K365" i="18" l="1"/>
  <c r="Q6" i="18"/>
  <c r="S4" i="18"/>
  <c r="Q7" i="18" l="1"/>
  <c r="S5" i="18"/>
  <c r="M365" i="18"/>
  <c r="R9" i="18"/>
  <c r="Q8" i="18" l="1"/>
  <c r="S6" i="18"/>
  <c r="R10" i="18"/>
  <c r="X31" i="16" l="1"/>
  <c r="X32" i="16"/>
  <c r="X33" i="16"/>
  <c r="X34" i="16"/>
  <c r="X35" i="16"/>
  <c r="X36" i="16"/>
  <c r="X37" i="16"/>
  <c r="X38" i="16"/>
  <c r="X39" i="16"/>
  <c r="X40" i="16"/>
  <c r="X41" i="16"/>
  <c r="X42" i="16"/>
  <c r="X43" i="16"/>
  <c r="X44" i="16"/>
  <c r="X45" i="16"/>
  <c r="X46" i="16"/>
  <c r="X47" i="16"/>
  <c r="X48" i="16"/>
  <c r="X49" i="16"/>
  <c r="X50" i="16"/>
  <c r="X51" i="16"/>
  <c r="X52" i="16"/>
  <c r="X53" i="16"/>
  <c r="X54" i="16"/>
  <c r="X55" i="16"/>
  <c r="X56" i="16"/>
  <c r="X57" i="16"/>
  <c r="X58" i="16"/>
  <c r="X59" i="16"/>
  <c r="X60" i="16"/>
  <c r="X61" i="16"/>
  <c r="X62" i="16"/>
  <c r="X63" i="16"/>
  <c r="X64" i="16"/>
  <c r="X65" i="16"/>
  <c r="X66" i="16"/>
  <c r="X67" i="16"/>
  <c r="X68" i="16"/>
  <c r="X69" i="16"/>
  <c r="X70" i="16"/>
  <c r="X71" i="16"/>
  <c r="X72" i="16"/>
  <c r="X73" i="16"/>
  <c r="X74" i="16"/>
  <c r="X75" i="16"/>
  <c r="X76" i="16"/>
  <c r="X77" i="16"/>
  <c r="X78" i="16"/>
  <c r="X79" i="16"/>
  <c r="X80" i="16"/>
  <c r="X81" i="16"/>
  <c r="X82" i="16"/>
  <c r="X83" i="16"/>
  <c r="X84" i="16"/>
  <c r="X85" i="16"/>
  <c r="X86" i="16"/>
  <c r="X87" i="16"/>
  <c r="X88" i="16"/>
  <c r="X89" i="16"/>
  <c r="X90" i="16"/>
  <c r="X91" i="16"/>
  <c r="X92" i="16"/>
  <c r="X93" i="16"/>
  <c r="X94" i="16"/>
  <c r="X95" i="16"/>
  <c r="X96" i="16"/>
  <c r="X97" i="16"/>
  <c r="X98" i="16"/>
  <c r="X99" i="16"/>
  <c r="X100" i="16"/>
  <c r="X101" i="16"/>
  <c r="X102" i="16"/>
  <c r="X103" i="16"/>
  <c r="X104" i="16"/>
  <c r="X105" i="16"/>
  <c r="X106" i="16"/>
  <c r="X107" i="16"/>
  <c r="X108" i="16"/>
  <c r="X109" i="16"/>
  <c r="X110" i="16"/>
  <c r="X111" i="16"/>
  <c r="X112" i="16"/>
  <c r="X113" i="16"/>
  <c r="X114" i="16"/>
  <c r="X115" i="16"/>
  <c r="X116" i="16"/>
  <c r="X117" i="16"/>
  <c r="X118" i="16"/>
  <c r="X119" i="16"/>
  <c r="X120" i="16"/>
  <c r="X121" i="16"/>
  <c r="X122" i="16"/>
  <c r="X123" i="16"/>
  <c r="X124" i="16"/>
  <c r="X125" i="16"/>
  <c r="X126" i="16"/>
  <c r="X127" i="16"/>
  <c r="X128" i="16"/>
  <c r="X129" i="16"/>
  <c r="X130" i="16"/>
  <c r="X131" i="16"/>
  <c r="X132" i="16"/>
  <c r="X133" i="16"/>
  <c r="X134" i="16"/>
  <c r="X135" i="16"/>
  <c r="X136" i="16"/>
  <c r="X137" i="16"/>
  <c r="X138" i="16"/>
  <c r="X139" i="16"/>
  <c r="X140" i="16"/>
  <c r="X141" i="16"/>
  <c r="X142" i="16"/>
  <c r="X143" i="16"/>
  <c r="X144" i="16"/>
  <c r="X145" i="16"/>
  <c r="X146" i="16"/>
  <c r="X147" i="16"/>
  <c r="X148" i="16"/>
  <c r="X149" i="16"/>
  <c r="X150" i="16"/>
  <c r="X151" i="16"/>
  <c r="X152" i="16"/>
  <c r="X153" i="16"/>
  <c r="X154" i="16"/>
  <c r="X155" i="16"/>
  <c r="X156" i="16"/>
  <c r="X157" i="16"/>
  <c r="X158" i="16"/>
  <c r="X159" i="16"/>
  <c r="X160" i="16"/>
  <c r="X161" i="16"/>
  <c r="X162" i="16"/>
  <c r="X163" i="16"/>
  <c r="X164" i="16"/>
  <c r="X165" i="16"/>
  <c r="X166" i="16"/>
  <c r="X167" i="16"/>
  <c r="X168" i="16"/>
  <c r="X169" i="16"/>
  <c r="X170" i="16"/>
  <c r="X171" i="16"/>
  <c r="X172" i="16"/>
  <c r="X173" i="16"/>
  <c r="X174" i="16"/>
  <c r="X175" i="16"/>
  <c r="X176" i="16"/>
  <c r="X177" i="16"/>
  <c r="X178" i="16"/>
  <c r="X179" i="16"/>
  <c r="X180" i="16"/>
  <c r="X181" i="16"/>
  <c r="X182" i="16"/>
  <c r="X183" i="16"/>
  <c r="X184" i="16"/>
  <c r="X185" i="16"/>
  <c r="X186" i="16"/>
  <c r="X187" i="16"/>
  <c r="X188" i="16"/>
  <c r="X189" i="16"/>
  <c r="X190" i="16"/>
  <c r="X191" i="16"/>
  <c r="X192" i="16"/>
  <c r="X193" i="16"/>
  <c r="X194" i="16"/>
  <c r="X195" i="16"/>
  <c r="X196" i="16"/>
  <c r="X197" i="16"/>
  <c r="X198" i="16"/>
  <c r="X199" i="16"/>
  <c r="X200" i="16"/>
  <c r="X201" i="16"/>
  <c r="X202" i="16"/>
  <c r="X203" i="16"/>
  <c r="X204" i="16"/>
  <c r="X205" i="16"/>
  <c r="X206" i="16"/>
  <c r="X207" i="16"/>
  <c r="X208" i="16"/>
  <c r="X209" i="16"/>
  <c r="X210" i="16"/>
  <c r="X211" i="16"/>
  <c r="X212" i="16"/>
  <c r="X213" i="16"/>
  <c r="X214" i="16"/>
  <c r="X215" i="16"/>
  <c r="X216" i="16"/>
  <c r="X217" i="16"/>
  <c r="X218" i="16"/>
  <c r="X219" i="16"/>
  <c r="X220" i="16"/>
  <c r="X221" i="16"/>
  <c r="X222" i="16"/>
  <c r="X223" i="16"/>
  <c r="X224" i="16"/>
  <c r="X225" i="16"/>
  <c r="X226" i="16"/>
  <c r="X227" i="16"/>
  <c r="X228" i="16"/>
  <c r="X229" i="16"/>
  <c r="X230" i="16"/>
  <c r="X231" i="16"/>
  <c r="X232" i="16"/>
  <c r="X233" i="16"/>
  <c r="X234" i="16"/>
  <c r="X235" i="16"/>
  <c r="X236" i="16"/>
  <c r="X237" i="16"/>
  <c r="X238" i="16"/>
  <c r="X239" i="16"/>
  <c r="X240" i="16"/>
  <c r="X241" i="16"/>
  <c r="X242" i="16"/>
  <c r="X243" i="16"/>
  <c r="X244" i="16"/>
  <c r="X245" i="16"/>
  <c r="X246" i="16"/>
  <c r="X247" i="16"/>
  <c r="X248" i="16"/>
  <c r="X249" i="16"/>
  <c r="X250" i="16"/>
  <c r="X251" i="16"/>
  <c r="X252" i="16"/>
  <c r="X253" i="16"/>
  <c r="X254" i="16"/>
  <c r="X255" i="16"/>
  <c r="X256" i="16"/>
  <c r="X257" i="16"/>
  <c r="X258" i="16"/>
  <c r="X259" i="16"/>
  <c r="X260" i="16"/>
  <c r="X261" i="16"/>
  <c r="X262" i="16"/>
  <c r="X263" i="16"/>
  <c r="X264" i="16"/>
  <c r="X265" i="16"/>
  <c r="X266" i="16"/>
  <c r="X267" i="16"/>
  <c r="X268" i="16"/>
  <c r="X269" i="16"/>
  <c r="X270" i="16"/>
  <c r="X271" i="16"/>
  <c r="X272" i="16"/>
  <c r="X273" i="16"/>
  <c r="X274" i="16"/>
  <c r="X275" i="16"/>
  <c r="X276" i="16"/>
  <c r="X277" i="16"/>
  <c r="X278" i="16"/>
  <c r="X279" i="16"/>
  <c r="X280" i="16"/>
  <c r="X281" i="16"/>
  <c r="X282" i="16"/>
  <c r="X283" i="16"/>
  <c r="X284" i="16"/>
  <c r="X285" i="16"/>
  <c r="X286" i="16"/>
  <c r="X287" i="16"/>
  <c r="X288" i="16"/>
  <c r="X289" i="16"/>
  <c r="X290" i="16"/>
  <c r="X291" i="16"/>
  <c r="X292" i="16"/>
  <c r="X293" i="16"/>
  <c r="X294" i="16"/>
  <c r="X295" i="16"/>
  <c r="X296" i="16"/>
  <c r="X297" i="16"/>
  <c r="X298" i="16"/>
  <c r="X299" i="16"/>
  <c r="X300" i="16"/>
  <c r="X301" i="16"/>
  <c r="X302" i="16"/>
  <c r="X303" i="16"/>
  <c r="X304" i="16"/>
  <c r="X305" i="16"/>
  <c r="X306" i="16"/>
  <c r="X307" i="16"/>
  <c r="X308" i="16"/>
  <c r="X309" i="16"/>
  <c r="X310" i="16"/>
  <c r="X311" i="16"/>
  <c r="X312" i="16"/>
  <c r="X313" i="16"/>
  <c r="X314" i="16"/>
  <c r="X315" i="16"/>
  <c r="X316" i="16"/>
  <c r="X317" i="16"/>
  <c r="X318" i="16"/>
  <c r="X319" i="16"/>
  <c r="X320" i="16"/>
  <c r="X321" i="16"/>
  <c r="X322" i="16"/>
  <c r="X323" i="16"/>
  <c r="X324" i="16"/>
  <c r="X325" i="16"/>
  <c r="X326" i="16"/>
  <c r="X327" i="16"/>
  <c r="X328" i="16"/>
  <c r="X329" i="16"/>
  <c r="X330" i="16"/>
  <c r="X331" i="16"/>
  <c r="X332" i="16"/>
  <c r="X333" i="16"/>
  <c r="X334" i="16"/>
  <c r="X335" i="16"/>
  <c r="X336" i="16"/>
  <c r="X337" i="16"/>
  <c r="X338" i="16"/>
  <c r="X339" i="16"/>
  <c r="X340" i="16"/>
  <c r="X341" i="16"/>
  <c r="X342" i="16"/>
  <c r="X343" i="16"/>
  <c r="X344" i="16"/>
  <c r="X345" i="16"/>
  <c r="X346" i="16"/>
  <c r="X347" i="16"/>
  <c r="X348" i="16"/>
  <c r="X349" i="16"/>
  <c r="X350" i="16"/>
  <c r="X351" i="16"/>
  <c r="X352" i="16"/>
  <c r="X353" i="16"/>
  <c r="X354" i="16"/>
  <c r="X355" i="16"/>
  <c r="X356" i="16"/>
  <c r="X357" i="16"/>
  <c r="X358" i="16"/>
  <c r="X359" i="16"/>
  <c r="X360" i="16"/>
  <c r="X361" i="16"/>
  <c r="X362" i="16"/>
  <c r="X363" i="16"/>
  <c r="X364" i="16"/>
  <c r="X365" i="16"/>
  <c r="X366" i="16"/>
  <c r="X367" i="16"/>
  <c r="X368" i="16"/>
  <c r="X369" i="16"/>
  <c r="X370" i="16"/>
  <c r="X371" i="16"/>
  <c r="X372" i="16"/>
  <c r="X373" i="16"/>
  <c r="X374" i="16"/>
  <c r="Q9" i="18"/>
  <c r="S7" i="18"/>
  <c r="R11" i="18"/>
  <c r="Q10" i="18" l="1"/>
  <c r="S8" i="18"/>
  <c r="R12" i="18"/>
  <c r="Q11" i="18" l="1"/>
  <c r="S9" i="18"/>
  <c r="R13" i="18"/>
  <c r="Q12" i="18" l="1"/>
  <c r="S10" i="18"/>
  <c r="R14" i="18"/>
  <c r="Q13" i="18" l="1"/>
  <c r="S11" i="18"/>
  <c r="R15" i="18"/>
  <c r="Q14" i="18" l="1"/>
  <c r="S12" i="18"/>
  <c r="R16" i="18"/>
  <c r="Q15" i="18" l="1"/>
  <c r="S13" i="18"/>
  <c r="R17" i="18"/>
  <c r="Q16" i="18" l="1"/>
  <c r="S14" i="18"/>
  <c r="R18" i="18"/>
  <c r="Q17" i="18" l="1"/>
  <c r="S15" i="18"/>
  <c r="R19" i="18"/>
  <c r="Q18" i="18" l="1"/>
  <c r="S16" i="18"/>
  <c r="R20" i="18"/>
  <c r="Q19" i="18" l="1"/>
  <c r="S17" i="18"/>
  <c r="R21" i="18"/>
  <c r="Q20" i="18" l="1"/>
  <c r="S18" i="18"/>
  <c r="R22" i="18"/>
  <c r="Q21" i="18" l="1"/>
  <c r="S19" i="18"/>
  <c r="R23" i="18"/>
  <c r="Q22" i="18" l="1"/>
  <c r="S20" i="18"/>
  <c r="R24" i="18"/>
  <c r="Q23" i="18" l="1"/>
  <c r="S21" i="18"/>
  <c r="R25" i="18"/>
  <c r="Q24" i="18" l="1"/>
  <c r="S22" i="18"/>
  <c r="R26" i="18"/>
  <c r="Q25" i="18" l="1"/>
  <c r="S23" i="18"/>
  <c r="R27" i="18"/>
  <c r="Q26" i="18" l="1"/>
  <c r="S24" i="18"/>
  <c r="R28" i="18"/>
  <c r="Q27" i="18" l="1"/>
  <c r="S25" i="18"/>
  <c r="R29" i="18"/>
  <c r="Q28" i="18" l="1"/>
  <c r="S26" i="18"/>
  <c r="R30" i="18"/>
  <c r="Q29" i="18" l="1"/>
  <c r="S27" i="18"/>
  <c r="R31" i="18"/>
  <c r="Q30" i="18" l="1"/>
  <c r="S28" i="18"/>
  <c r="R32" i="18"/>
  <c r="Q31" i="18" l="1"/>
  <c r="S29" i="18"/>
  <c r="R33" i="18"/>
  <c r="Q32" i="18" l="1"/>
  <c r="S30" i="18"/>
  <c r="R34" i="18"/>
  <c r="Q33" i="18" l="1"/>
  <c r="S31" i="18"/>
  <c r="R35" i="18"/>
  <c r="Q34" i="18" l="1"/>
  <c r="S32" i="18"/>
  <c r="R36" i="18"/>
  <c r="Q35" i="18" l="1"/>
  <c r="S33" i="18"/>
  <c r="R37" i="18"/>
  <c r="Q36" i="18" l="1"/>
  <c r="S34" i="18"/>
  <c r="J40" i="16"/>
  <c r="K40" i="16" s="1"/>
  <c r="R38" i="18"/>
  <c r="Q37" i="18" l="1"/>
  <c r="S35" i="18"/>
  <c r="J41" i="16"/>
  <c r="K41" i="16" s="1"/>
  <c r="R39" i="18"/>
  <c r="Q38" i="18" l="1"/>
  <c r="S36" i="18"/>
  <c r="J42" i="16"/>
  <c r="K42" i="16" s="1"/>
  <c r="R40" i="18"/>
  <c r="Q39" i="18" l="1"/>
  <c r="S37" i="18"/>
  <c r="J43" i="16"/>
  <c r="K43" i="16" s="1"/>
  <c r="R41" i="18"/>
  <c r="Q40" i="18" l="1"/>
  <c r="S38" i="18"/>
  <c r="J44" i="16"/>
  <c r="K44" i="16" s="1"/>
  <c r="R42" i="18"/>
  <c r="Q41" i="18" l="1"/>
  <c r="S39" i="18"/>
  <c r="J45" i="16"/>
  <c r="K45" i="16" s="1"/>
  <c r="R43" i="18"/>
  <c r="Q42" i="18" l="1"/>
  <c r="S40" i="18"/>
  <c r="J46" i="16"/>
  <c r="K46" i="16" s="1"/>
  <c r="R44" i="18"/>
  <c r="Q43" i="18" l="1"/>
  <c r="S41" i="18"/>
  <c r="J47" i="16"/>
  <c r="K47" i="16" s="1"/>
  <c r="R45" i="18"/>
  <c r="Q44" i="18" l="1"/>
  <c r="S42" i="18"/>
  <c r="J48" i="16"/>
  <c r="K48" i="16" s="1"/>
  <c r="R46" i="18"/>
  <c r="Q45" i="18" l="1"/>
  <c r="S43" i="18"/>
  <c r="J49" i="16"/>
  <c r="K49" i="16" s="1"/>
  <c r="R47" i="18"/>
  <c r="Q46" i="18" l="1"/>
  <c r="S44" i="18"/>
  <c r="J50" i="16"/>
  <c r="K50" i="16" s="1"/>
  <c r="R48" i="18"/>
  <c r="Q47" i="18" l="1"/>
  <c r="S45" i="18"/>
  <c r="J51" i="16"/>
  <c r="K51" i="16" s="1"/>
  <c r="R49" i="18"/>
  <c r="Q48" i="18" l="1"/>
  <c r="S46" i="18"/>
  <c r="J52" i="16"/>
  <c r="K52" i="16" s="1"/>
  <c r="R50" i="18"/>
  <c r="Q49" i="18" l="1"/>
  <c r="S47" i="18"/>
  <c r="J53" i="16"/>
  <c r="K53" i="16" s="1"/>
  <c r="R51" i="18"/>
  <c r="Q50" i="18" l="1"/>
  <c r="S48" i="18"/>
  <c r="J54" i="16"/>
  <c r="K54" i="16" s="1"/>
  <c r="R52" i="18"/>
  <c r="Q51" i="18" l="1"/>
  <c r="S49" i="18"/>
  <c r="J55" i="16"/>
  <c r="K55" i="16" s="1"/>
  <c r="R53" i="18"/>
  <c r="Q52" i="18" l="1"/>
  <c r="S50" i="18"/>
  <c r="J56" i="16"/>
  <c r="K56" i="16" s="1"/>
  <c r="R54" i="18"/>
  <c r="Q53" i="18" l="1"/>
  <c r="S51" i="18"/>
  <c r="J57" i="16"/>
  <c r="K57" i="16" s="1"/>
  <c r="R55" i="18"/>
  <c r="Q54" i="18" l="1"/>
  <c r="S52" i="18"/>
  <c r="J58" i="16"/>
  <c r="K58" i="16" s="1"/>
  <c r="R56" i="18"/>
  <c r="Q55" i="18" l="1"/>
  <c r="S53" i="18"/>
  <c r="J59" i="16"/>
  <c r="K59" i="16" s="1"/>
  <c r="R57" i="18"/>
  <c r="Q56" i="18" l="1"/>
  <c r="S54" i="18"/>
  <c r="J60" i="16"/>
  <c r="K60" i="16" s="1"/>
  <c r="R58" i="18"/>
  <c r="Q57" i="18" l="1"/>
  <c r="S55" i="18"/>
  <c r="J61" i="16"/>
  <c r="K61" i="16" s="1"/>
  <c r="R59" i="18"/>
  <c r="Q58" i="18" l="1"/>
  <c r="S56" i="18"/>
  <c r="J62" i="16"/>
  <c r="K62" i="16" s="1"/>
  <c r="R60" i="18"/>
  <c r="Q59" i="18" l="1"/>
  <c r="S57" i="18"/>
  <c r="J63" i="16"/>
  <c r="K63" i="16" s="1"/>
  <c r="R61" i="18"/>
  <c r="Q60" i="18" l="1"/>
  <c r="S58" i="18"/>
  <c r="J64" i="16"/>
  <c r="K64" i="16" s="1"/>
  <c r="R62" i="18"/>
  <c r="Q61" i="18" l="1"/>
  <c r="S59" i="18"/>
  <c r="J65" i="16"/>
  <c r="K65" i="16" s="1"/>
  <c r="R63" i="18"/>
  <c r="Q62" i="18" l="1"/>
  <c r="S60" i="18"/>
  <c r="J66" i="16"/>
  <c r="K66" i="16" s="1"/>
  <c r="R64" i="18"/>
  <c r="Q63" i="18" l="1"/>
  <c r="S61" i="18"/>
  <c r="J67" i="16"/>
  <c r="K67" i="16" s="1"/>
  <c r="R65" i="18"/>
  <c r="Q64" i="18" l="1"/>
  <c r="S62" i="18"/>
  <c r="J68" i="16"/>
  <c r="K68" i="16" s="1"/>
  <c r="R66" i="18"/>
  <c r="Q65" i="18" l="1"/>
  <c r="S63" i="18"/>
  <c r="J69" i="16"/>
  <c r="K69" i="16" s="1"/>
  <c r="R67" i="18"/>
  <c r="Q66" i="18" l="1"/>
  <c r="S64" i="18"/>
  <c r="J70" i="16"/>
  <c r="K70" i="16" s="1"/>
  <c r="R68" i="18"/>
  <c r="Q67" i="18" l="1"/>
  <c r="S65" i="18"/>
  <c r="J71" i="16"/>
  <c r="K71" i="16" s="1"/>
  <c r="R69" i="18"/>
  <c r="Q68" i="18" l="1"/>
  <c r="S66" i="18"/>
  <c r="J72" i="16"/>
  <c r="K72" i="16" s="1"/>
  <c r="R70" i="18"/>
  <c r="Q69" i="18" l="1"/>
  <c r="S67" i="18"/>
  <c r="J73" i="16"/>
  <c r="K73" i="16" s="1"/>
  <c r="R71" i="18"/>
  <c r="Q70" i="18" l="1"/>
  <c r="S68" i="18"/>
  <c r="J74" i="16"/>
  <c r="K74" i="16" s="1"/>
  <c r="R72" i="18"/>
  <c r="Q71" i="18" l="1"/>
  <c r="S69" i="18"/>
  <c r="J75" i="16"/>
  <c r="K75" i="16" s="1"/>
  <c r="R73" i="18"/>
  <c r="Q72" i="18" l="1"/>
  <c r="S70" i="18"/>
  <c r="J76" i="16"/>
  <c r="K76" i="16" s="1"/>
  <c r="R74" i="18"/>
  <c r="Q73" i="18" l="1"/>
  <c r="S71" i="18"/>
  <c r="J77" i="16"/>
  <c r="K77" i="16" s="1"/>
  <c r="R75" i="18"/>
  <c r="Q74" i="18" l="1"/>
  <c r="S72" i="18"/>
  <c r="J78" i="16"/>
  <c r="K78" i="16" s="1"/>
  <c r="R76" i="18"/>
  <c r="Q75" i="18" l="1"/>
  <c r="S73" i="18"/>
  <c r="J79" i="16"/>
  <c r="K79" i="16" s="1"/>
  <c r="R77" i="18"/>
  <c r="Q76" i="18" l="1"/>
  <c r="S74" i="18"/>
  <c r="J80" i="16"/>
  <c r="K80" i="16" s="1"/>
  <c r="R78" i="18"/>
  <c r="Q77" i="18" l="1"/>
  <c r="S75" i="18"/>
  <c r="J81" i="16"/>
  <c r="K81" i="16" s="1"/>
  <c r="R79" i="18"/>
  <c r="Q78" i="18" l="1"/>
  <c r="S76" i="18"/>
  <c r="J82" i="16"/>
  <c r="K82" i="16" s="1"/>
  <c r="R80" i="18"/>
  <c r="Q79" i="18" l="1"/>
  <c r="S77" i="18"/>
  <c r="J83" i="16"/>
  <c r="K83" i="16" s="1"/>
  <c r="R81" i="18"/>
  <c r="Q80" i="18" l="1"/>
  <c r="S78" i="18"/>
  <c r="J84" i="16"/>
  <c r="K84" i="16" s="1"/>
  <c r="R82" i="18"/>
  <c r="Q81" i="18" l="1"/>
  <c r="S79" i="18"/>
  <c r="J85" i="16"/>
  <c r="K85" i="16" s="1"/>
  <c r="R83" i="18"/>
  <c r="Q82" i="18" l="1"/>
  <c r="S80" i="18"/>
  <c r="J86" i="16"/>
  <c r="K86" i="16" s="1"/>
  <c r="R84" i="18"/>
  <c r="Q83" i="18" l="1"/>
  <c r="S81" i="18"/>
  <c r="J87" i="16"/>
  <c r="K87" i="16" s="1"/>
  <c r="R85" i="18"/>
  <c r="Q84" i="18" l="1"/>
  <c r="S82" i="18"/>
  <c r="J88" i="16"/>
  <c r="K88" i="16" s="1"/>
  <c r="R86" i="18"/>
  <c r="Q85" i="18" l="1"/>
  <c r="S83" i="18"/>
  <c r="J89" i="16"/>
  <c r="K89" i="16" s="1"/>
  <c r="R87" i="18"/>
  <c r="Q86" i="18" l="1"/>
  <c r="S84" i="18"/>
  <c r="J90" i="16"/>
  <c r="K90" i="16" s="1"/>
  <c r="R88" i="18"/>
  <c r="Q87" i="18" l="1"/>
  <c r="S85" i="18"/>
  <c r="J91" i="16"/>
  <c r="K91" i="16" s="1"/>
  <c r="R89" i="18"/>
  <c r="Q88" i="18" l="1"/>
  <c r="S86" i="18"/>
  <c r="J92" i="16"/>
  <c r="K92" i="16" s="1"/>
  <c r="R90" i="18"/>
  <c r="Q89" i="18" l="1"/>
  <c r="S87" i="18"/>
  <c r="J93" i="16"/>
  <c r="K93" i="16" s="1"/>
  <c r="R91" i="18"/>
  <c r="Q90" i="18" l="1"/>
  <c r="S88" i="18"/>
  <c r="J94" i="16"/>
  <c r="K94" i="16" s="1"/>
  <c r="R92" i="18"/>
  <c r="Q91" i="18" l="1"/>
  <c r="S89" i="18"/>
  <c r="J95" i="16"/>
  <c r="K95" i="16" s="1"/>
  <c r="R93" i="18"/>
  <c r="Q92" i="18" l="1"/>
  <c r="S90" i="18"/>
  <c r="J96" i="16"/>
  <c r="K96" i="16" s="1"/>
  <c r="R94" i="18"/>
  <c r="Q93" i="18" l="1"/>
  <c r="S91" i="18"/>
  <c r="J97" i="16"/>
  <c r="K97" i="16" s="1"/>
  <c r="R95" i="18"/>
  <c r="Q94" i="18" l="1"/>
  <c r="S92" i="18"/>
  <c r="J98" i="16"/>
  <c r="K98" i="16" s="1"/>
  <c r="R96" i="18"/>
  <c r="Q95" i="18" l="1"/>
  <c r="S93" i="18"/>
  <c r="J99" i="16"/>
  <c r="K99" i="16" s="1"/>
  <c r="R97" i="18"/>
  <c r="Q96" i="18" l="1"/>
  <c r="S94" i="18"/>
  <c r="J100" i="16"/>
  <c r="K100" i="16" s="1"/>
  <c r="R98" i="18"/>
  <c r="Q97" i="18" l="1"/>
  <c r="S95" i="18"/>
  <c r="J101" i="16"/>
  <c r="K101" i="16" s="1"/>
  <c r="R99" i="18"/>
  <c r="Q98" i="18" l="1"/>
  <c r="S96" i="18"/>
  <c r="J102" i="16"/>
  <c r="K102" i="16" s="1"/>
  <c r="R100" i="18"/>
  <c r="Q99" i="18" l="1"/>
  <c r="S97" i="18"/>
  <c r="J103" i="16"/>
  <c r="K103" i="16" s="1"/>
  <c r="R101" i="18"/>
  <c r="Q100" i="18" l="1"/>
  <c r="S98" i="18"/>
  <c r="J104" i="16"/>
  <c r="K104" i="16" s="1"/>
  <c r="R102" i="18"/>
  <c r="Q101" i="18" l="1"/>
  <c r="S99" i="18"/>
  <c r="J105" i="16"/>
  <c r="K105" i="16" s="1"/>
  <c r="R103" i="18"/>
  <c r="Q102" i="18" l="1"/>
  <c r="S100" i="18"/>
  <c r="J106" i="16"/>
  <c r="K106" i="16" s="1"/>
  <c r="R104" i="18"/>
  <c r="Q103" i="18" l="1"/>
  <c r="S101" i="18"/>
  <c r="J107" i="16"/>
  <c r="K107" i="16" s="1"/>
  <c r="R105" i="18"/>
  <c r="Q104" i="18" l="1"/>
  <c r="S102" i="18"/>
  <c r="J108" i="16"/>
  <c r="K108" i="16" s="1"/>
  <c r="R106" i="18"/>
  <c r="Q105" i="18" l="1"/>
  <c r="S103" i="18"/>
  <c r="J109" i="16"/>
  <c r="K109" i="16" s="1"/>
  <c r="R107" i="18"/>
  <c r="Q106" i="18" l="1"/>
  <c r="S104" i="18"/>
  <c r="J110" i="16"/>
  <c r="K110" i="16" s="1"/>
  <c r="R108" i="18"/>
  <c r="Q107" i="18" l="1"/>
  <c r="S105" i="18"/>
  <c r="J111" i="16"/>
  <c r="K111" i="16" s="1"/>
  <c r="R109" i="18"/>
  <c r="Q108" i="18" l="1"/>
  <c r="S106" i="18"/>
  <c r="J112" i="16"/>
  <c r="K112" i="16" s="1"/>
  <c r="R110" i="18"/>
  <c r="Q109" i="18" l="1"/>
  <c r="S107" i="18"/>
  <c r="J113" i="16"/>
  <c r="K113" i="16" s="1"/>
  <c r="R111" i="18"/>
  <c r="Q110" i="18" l="1"/>
  <c r="S108" i="18"/>
  <c r="J114" i="16"/>
  <c r="K114" i="16" s="1"/>
  <c r="R112" i="18"/>
  <c r="Q111" i="18" l="1"/>
  <c r="S109" i="18"/>
  <c r="J115" i="16"/>
  <c r="K115" i="16" s="1"/>
  <c r="R113" i="18"/>
  <c r="Q112" i="18" l="1"/>
  <c r="S110" i="18"/>
  <c r="J116" i="16"/>
  <c r="K116" i="16" s="1"/>
  <c r="R114" i="18"/>
  <c r="Q113" i="18" l="1"/>
  <c r="S111" i="18"/>
  <c r="J117" i="16"/>
  <c r="K117" i="16" s="1"/>
  <c r="R115" i="18"/>
  <c r="Q114" i="18" l="1"/>
  <c r="S112" i="18"/>
  <c r="J118" i="16"/>
  <c r="K118" i="16" s="1"/>
  <c r="R116" i="18"/>
  <c r="Q115" i="18" l="1"/>
  <c r="S113" i="18"/>
  <c r="J119" i="16"/>
  <c r="K119" i="16" s="1"/>
  <c r="R117" i="18"/>
  <c r="Q116" i="18" l="1"/>
  <c r="S114" i="18"/>
  <c r="J120" i="16"/>
  <c r="K120" i="16" s="1"/>
  <c r="R118" i="18"/>
  <c r="Q117" i="18" l="1"/>
  <c r="S115" i="18"/>
  <c r="J121" i="16"/>
  <c r="K121" i="16" s="1"/>
  <c r="R119" i="18"/>
  <c r="Q118" i="18" l="1"/>
  <c r="S116" i="18"/>
  <c r="J122" i="16"/>
  <c r="K122" i="16" s="1"/>
  <c r="R120" i="18"/>
  <c r="Q119" i="18" l="1"/>
  <c r="S117" i="18"/>
  <c r="J123" i="16"/>
  <c r="K123" i="16" s="1"/>
  <c r="R121" i="18"/>
  <c r="Q120" i="18" l="1"/>
  <c r="S118" i="18"/>
  <c r="J124" i="16"/>
  <c r="K124" i="16" s="1"/>
  <c r="R122" i="18"/>
  <c r="Q121" i="18" l="1"/>
  <c r="S119" i="18"/>
  <c r="J125" i="16"/>
  <c r="K125" i="16" s="1"/>
  <c r="R123" i="18"/>
  <c r="Q122" i="18" l="1"/>
  <c r="S120" i="18"/>
  <c r="J126" i="16"/>
  <c r="K126" i="16" s="1"/>
  <c r="R124" i="18"/>
  <c r="Q123" i="18" l="1"/>
  <c r="S121" i="18"/>
  <c r="J127" i="16"/>
  <c r="K127" i="16" s="1"/>
  <c r="R125" i="18"/>
  <c r="Q124" i="18" l="1"/>
  <c r="S122" i="18"/>
  <c r="J128" i="16"/>
  <c r="K128" i="16" s="1"/>
  <c r="R126" i="18"/>
  <c r="Q125" i="18" l="1"/>
  <c r="S123" i="18"/>
  <c r="J129" i="16"/>
  <c r="K129" i="16" s="1"/>
  <c r="R127" i="18"/>
  <c r="Q126" i="18" l="1"/>
  <c r="S124" i="18"/>
  <c r="J130" i="16"/>
  <c r="K130" i="16" s="1"/>
  <c r="R128" i="18"/>
  <c r="Q127" i="18" l="1"/>
  <c r="S125" i="18"/>
  <c r="J131" i="16"/>
  <c r="K131" i="16" s="1"/>
  <c r="R129" i="18"/>
  <c r="Q128" i="18" l="1"/>
  <c r="S126" i="18"/>
  <c r="J132" i="16"/>
  <c r="K132" i="16" s="1"/>
  <c r="R130" i="18"/>
  <c r="Q129" i="18" l="1"/>
  <c r="S127" i="18"/>
  <c r="J133" i="16"/>
  <c r="K133" i="16" s="1"/>
  <c r="R131" i="18"/>
  <c r="Q130" i="18" l="1"/>
  <c r="S128" i="18"/>
  <c r="J134" i="16"/>
  <c r="K134" i="16" s="1"/>
  <c r="R132" i="18"/>
  <c r="Q131" i="18" l="1"/>
  <c r="S129" i="18"/>
  <c r="J135" i="16"/>
  <c r="K135" i="16" s="1"/>
  <c r="R133" i="18"/>
  <c r="Q132" i="18" l="1"/>
  <c r="S130" i="18"/>
  <c r="J136" i="16"/>
  <c r="K136" i="16" s="1"/>
  <c r="R134" i="18"/>
  <c r="Q133" i="18" l="1"/>
  <c r="S131" i="18"/>
  <c r="J137" i="16"/>
  <c r="K137" i="16" s="1"/>
  <c r="R135" i="18"/>
  <c r="Q134" i="18" l="1"/>
  <c r="S132" i="18"/>
  <c r="J138" i="16"/>
  <c r="K138" i="16" s="1"/>
  <c r="R136" i="18"/>
  <c r="Q135" i="18" l="1"/>
  <c r="S133" i="18"/>
  <c r="J139" i="16"/>
  <c r="K139" i="16" s="1"/>
  <c r="R137" i="18"/>
  <c r="Q136" i="18" l="1"/>
  <c r="S134" i="18"/>
  <c r="J140" i="16"/>
  <c r="K140" i="16" s="1"/>
  <c r="R138" i="18"/>
  <c r="Q137" i="18" l="1"/>
  <c r="S135" i="18"/>
  <c r="J141" i="16"/>
  <c r="K141" i="16" s="1"/>
  <c r="R139" i="18"/>
  <c r="Q138" i="18" l="1"/>
  <c r="S136" i="18"/>
  <c r="J142" i="16"/>
  <c r="K142" i="16" s="1"/>
  <c r="R140" i="18"/>
  <c r="Q139" i="18" l="1"/>
  <c r="S137" i="18"/>
  <c r="J143" i="16"/>
  <c r="K143" i="16" s="1"/>
  <c r="R141" i="18"/>
  <c r="Q140" i="18" l="1"/>
  <c r="S138" i="18"/>
  <c r="J144" i="16"/>
  <c r="K144" i="16" s="1"/>
  <c r="R142" i="18"/>
  <c r="Q141" i="18" l="1"/>
  <c r="S139" i="18"/>
  <c r="J145" i="16"/>
  <c r="K145" i="16" s="1"/>
  <c r="R143" i="18"/>
  <c r="Q142" i="18" l="1"/>
  <c r="S140" i="18"/>
  <c r="R144" i="18"/>
  <c r="Q143" i="18" l="1"/>
  <c r="S141" i="18"/>
  <c r="J146" i="16"/>
  <c r="K146" i="16" s="1"/>
  <c r="R145" i="18"/>
  <c r="Q144" i="18" l="1"/>
  <c r="S142" i="18"/>
  <c r="J147" i="16"/>
  <c r="K147" i="16" s="1"/>
  <c r="R146" i="18"/>
  <c r="Q145" i="18" l="1"/>
  <c r="S143" i="18"/>
  <c r="J148" i="16"/>
  <c r="K148" i="16" s="1"/>
  <c r="R147" i="18"/>
  <c r="Q146" i="18" l="1"/>
  <c r="S144" i="18"/>
  <c r="J149" i="16"/>
  <c r="K149" i="16" s="1"/>
  <c r="R148" i="18"/>
  <c r="Q147" i="18" l="1"/>
  <c r="S145" i="18"/>
  <c r="J150" i="16"/>
  <c r="K150" i="16" s="1"/>
  <c r="R149" i="18"/>
  <c r="Q148" i="18" l="1"/>
  <c r="S146" i="18"/>
  <c r="J151" i="16"/>
  <c r="K151" i="16" s="1"/>
  <c r="R150" i="18"/>
  <c r="Q149" i="18" l="1"/>
  <c r="S147" i="18"/>
  <c r="J152" i="16"/>
  <c r="K152" i="16" s="1"/>
  <c r="R151" i="18"/>
  <c r="Q150" i="18" l="1"/>
  <c r="S148" i="18"/>
  <c r="J153" i="16"/>
  <c r="K153" i="16" s="1"/>
  <c r="R152" i="18"/>
  <c r="Q151" i="18" l="1"/>
  <c r="S149" i="18"/>
  <c r="J154" i="16"/>
  <c r="K154" i="16" s="1"/>
  <c r="R153" i="18"/>
  <c r="Q152" i="18" l="1"/>
  <c r="S150" i="18"/>
  <c r="J155" i="16"/>
  <c r="K155" i="16" s="1"/>
  <c r="R154" i="18"/>
  <c r="Q153" i="18" l="1"/>
  <c r="S151" i="18"/>
  <c r="J156" i="16"/>
  <c r="K156" i="16" s="1"/>
  <c r="R155" i="18"/>
  <c r="Q154" i="18" l="1"/>
  <c r="S152" i="18"/>
  <c r="J157" i="16"/>
  <c r="K157" i="16" s="1"/>
  <c r="R156" i="18"/>
  <c r="Q155" i="18" l="1"/>
  <c r="S153" i="18"/>
  <c r="J158" i="16"/>
  <c r="K158" i="16" s="1"/>
  <c r="R157" i="18"/>
  <c r="Q156" i="18" l="1"/>
  <c r="S154" i="18"/>
  <c r="J159" i="16"/>
  <c r="K159" i="16" s="1"/>
  <c r="R158" i="18"/>
  <c r="Q157" i="18" l="1"/>
  <c r="S155" i="18"/>
  <c r="J160" i="16"/>
  <c r="K160" i="16" s="1"/>
  <c r="R159" i="18"/>
  <c r="Q158" i="18" l="1"/>
  <c r="S156" i="18"/>
  <c r="J161" i="16"/>
  <c r="K161" i="16" s="1"/>
  <c r="R160" i="18"/>
  <c r="Q159" i="18" l="1"/>
  <c r="S157" i="18"/>
  <c r="J162" i="16"/>
  <c r="K162" i="16" s="1"/>
  <c r="R161" i="18"/>
  <c r="Q160" i="18" l="1"/>
  <c r="S158" i="18"/>
  <c r="J163" i="16"/>
  <c r="K163" i="16" s="1"/>
  <c r="R162" i="18"/>
  <c r="Q161" i="18" l="1"/>
  <c r="S159" i="18"/>
  <c r="J164" i="16"/>
  <c r="K164" i="16" s="1"/>
  <c r="R163" i="18"/>
  <c r="Q162" i="18" l="1"/>
  <c r="S160" i="18"/>
  <c r="J165" i="16"/>
  <c r="K165" i="16" s="1"/>
  <c r="R164" i="18"/>
  <c r="Q163" i="18" l="1"/>
  <c r="S161" i="18"/>
  <c r="J166" i="16"/>
  <c r="K166" i="16" s="1"/>
  <c r="R165" i="18"/>
  <c r="Q164" i="18" l="1"/>
  <c r="S162" i="18"/>
  <c r="J167" i="16"/>
  <c r="K167" i="16" s="1"/>
  <c r="R166" i="18"/>
  <c r="Q165" i="18" l="1"/>
  <c r="S163" i="18"/>
  <c r="J168" i="16"/>
  <c r="K168" i="16" s="1"/>
  <c r="R167" i="18"/>
  <c r="Q166" i="18" l="1"/>
  <c r="S164" i="18"/>
  <c r="J169" i="16"/>
  <c r="K169" i="16" s="1"/>
  <c r="R168" i="18"/>
  <c r="Q167" i="18" l="1"/>
  <c r="S165" i="18"/>
  <c r="J170" i="16"/>
  <c r="K170" i="16" s="1"/>
  <c r="R169" i="18"/>
  <c r="Q168" i="18" l="1"/>
  <c r="S166" i="18"/>
  <c r="J171" i="16"/>
  <c r="K171" i="16" s="1"/>
  <c r="R170" i="18"/>
  <c r="Q169" i="18" l="1"/>
  <c r="S167" i="18"/>
  <c r="J172" i="16"/>
  <c r="K172" i="16" s="1"/>
  <c r="R171" i="18"/>
  <c r="Q170" i="18" l="1"/>
  <c r="S168" i="18"/>
  <c r="J173" i="16"/>
  <c r="K173" i="16" s="1"/>
  <c r="R172" i="18"/>
  <c r="Q171" i="18" l="1"/>
  <c r="S169" i="18"/>
  <c r="J174" i="16"/>
  <c r="K174" i="16" s="1"/>
  <c r="R173" i="18"/>
  <c r="Q172" i="18" l="1"/>
  <c r="S170" i="18"/>
  <c r="J175" i="16"/>
  <c r="K175" i="16" s="1"/>
  <c r="R174" i="18"/>
  <c r="Q173" i="18" l="1"/>
  <c r="S171" i="18"/>
  <c r="J176" i="16"/>
  <c r="K176" i="16" s="1"/>
  <c r="R175" i="18"/>
  <c r="Q174" i="18" l="1"/>
  <c r="S172" i="18"/>
  <c r="J177" i="16"/>
  <c r="K177" i="16" s="1"/>
  <c r="R176" i="18"/>
  <c r="Q175" i="18" l="1"/>
  <c r="S173" i="18"/>
  <c r="J178" i="16"/>
  <c r="K178" i="16" s="1"/>
  <c r="R177" i="18"/>
  <c r="Q176" i="18" l="1"/>
  <c r="S174" i="18"/>
  <c r="J179" i="16"/>
  <c r="K179" i="16" s="1"/>
  <c r="R178" i="18"/>
  <c r="Q177" i="18" l="1"/>
  <c r="S175" i="18"/>
  <c r="J180" i="16"/>
  <c r="K180" i="16" s="1"/>
  <c r="R179" i="18"/>
  <c r="Q178" i="18" l="1"/>
  <c r="S176" i="18"/>
  <c r="J181" i="16"/>
  <c r="K181" i="16" s="1"/>
  <c r="R180" i="18"/>
  <c r="Q179" i="18" l="1"/>
  <c r="S177" i="18"/>
  <c r="J182" i="16"/>
  <c r="K182" i="16" s="1"/>
  <c r="R181" i="18"/>
  <c r="Q180" i="18" l="1"/>
  <c r="S178" i="18"/>
  <c r="J183" i="16"/>
  <c r="K183" i="16" s="1"/>
  <c r="R182" i="18"/>
  <c r="Q181" i="18" l="1"/>
  <c r="S179" i="18"/>
  <c r="J184" i="16"/>
  <c r="K184" i="16" s="1"/>
  <c r="R183" i="18"/>
  <c r="Q182" i="18" l="1"/>
  <c r="S180" i="18"/>
  <c r="J185" i="16"/>
  <c r="K185" i="16" s="1"/>
  <c r="R184" i="18"/>
  <c r="Q183" i="18" l="1"/>
  <c r="S181" i="18"/>
  <c r="J186" i="16"/>
  <c r="K186" i="16" s="1"/>
  <c r="R185" i="18"/>
  <c r="Q184" i="18" l="1"/>
  <c r="S182" i="18"/>
  <c r="J187" i="16"/>
  <c r="K187" i="16" s="1"/>
  <c r="R186" i="18"/>
  <c r="Q185" i="18" l="1"/>
  <c r="S183" i="18"/>
  <c r="J188" i="16"/>
  <c r="K188" i="16" s="1"/>
  <c r="R187" i="18"/>
  <c r="Q186" i="18" l="1"/>
  <c r="S184" i="18"/>
  <c r="J189" i="16"/>
  <c r="K189" i="16" s="1"/>
  <c r="R188" i="18"/>
  <c r="Q187" i="18" l="1"/>
  <c r="S185" i="18"/>
  <c r="J190" i="16"/>
  <c r="K190" i="16" s="1"/>
  <c r="R189" i="18"/>
  <c r="Q188" i="18" l="1"/>
  <c r="S186" i="18"/>
  <c r="J191" i="16"/>
  <c r="K191" i="16" s="1"/>
  <c r="R190" i="18"/>
  <c r="Q189" i="18" l="1"/>
  <c r="S187" i="18"/>
  <c r="J192" i="16"/>
  <c r="K192" i="16" s="1"/>
  <c r="R191" i="18"/>
  <c r="Q190" i="18" l="1"/>
  <c r="S188" i="18"/>
  <c r="J193" i="16"/>
  <c r="K193" i="16" s="1"/>
  <c r="R192" i="18"/>
  <c r="Q191" i="18" l="1"/>
  <c r="S189" i="18"/>
  <c r="J194" i="16"/>
  <c r="K194" i="16" s="1"/>
  <c r="R193" i="18"/>
  <c r="Q192" i="18" l="1"/>
  <c r="S190" i="18"/>
  <c r="J195" i="16"/>
  <c r="K195" i="16" s="1"/>
  <c r="R194" i="18"/>
  <c r="Q193" i="18" l="1"/>
  <c r="S191" i="18"/>
  <c r="J196" i="16"/>
  <c r="K196" i="16" s="1"/>
  <c r="R195" i="18"/>
  <c r="Q194" i="18" l="1"/>
  <c r="S192" i="18"/>
  <c r="J197" i="16"/>
  <c r="K197" i="16" s="1"/>
  <c r="R196" i="18"/>
  <c r="Q195" i="18" l="1"/>
  <c r="S193" i="18"/>
  <c r="J198" i="16"/>
  <c r="K198" i="16" s="1"/>
  <c r="R197" i="18"/>
  <c r="Q196" i="18" l="1"/>
  <c r="S194" i="18"/>
  <c r="J199" i="16"/>
  <c r="K199" i="16" s="1"/>
  <c r="R198" i="18"/>
  <c r="Q197" i="18" l="1"/>
  <c r="S195" i="18"/>
  <c r="J200" i="16"/>
  <c r="K200" i="16" s="1"/>
  <c r="R199" i="18"/>
  <c r="Q198" i="18" l="1"/>
  <c r="S196" i="18"/>
  <c r="J201" i="16"/>
  <c r="K201" i="16" s="1"/>
  <c r="R200" i="18"/>
  <c r="Q199" i="18" l="1"/>
  <c r="S197" i="18"/>
  <c r="J202" i="16"/>
  <c r="K202" i="16" s="1"/>
  <c r="R201" i="18"/>
  <c r="Q200" i="18" l="1"/>
  <c r="S198" i="18"/>
  <c r="J203" i="16"/>
  <c r="K203" i="16" s="1"/>
  <c r="R202" i="18"/>
  <c r="Q201" i="18" l="1"/>
  <c r="S199" i="18"/>
  <c r="J204" i="16"/>
  <c r="K204" i="16" s="1"/>
  <c r="R203" i="18"/>
  <c r="Q202" i="18" l="1"/>
  <c r="S200" i="18"/>
  <c r="J205" i="16"/>
  <c r="K205" i="16" s="1"/>
  <c r="R204" i="18"/>
  <c r="Q203" i="18" l="1"/>
  <c r="S201" i="18"/>
  <c r="J206" i="16"/>
  <c r="K206" i="16" s="1"/>
  <c r="R205" i="18"/>
  <c r="Q204" i="18" l="1"/>
  <c r="S202" i="18"/>
  <c r="J207" i="16"/>
  <c r="K207" i="16" s="1"/>
  <c r="R206" i="18"/>
  <c r="Q205" i="18" l="1"/>
  <c r="S203" i="18"/>
  <c r="J208" i="16"/>
  <c r="K208" i="16" s="1"/>
  <c r="R207" i="18"/>
  <c r="Q206" i="18" l="1"/>
  <c r="S204" i="18"/>
  <c r="J209" i="16"/>
  <c r="K209" i="16" s="1"/>
  <c r="R208" i="18"/>
  <c r="Q207" i="18" l="1"/>
  <c r="S205" i="18"/>
  <c r="J210" i="16"/>
  <c r="K210" i="16" s="1"/>
  <c r="R209" i="18"/>
  <c r="Q208" i="18" l="1"/>
  <c r="S206" i="18"/>
  <c r="J211" i="16"/>
  <c r="K211" i="16" s="1"/>
  <c r="R210" i="18"/>
  <c r="Q209" i="18" l="1"/>
  <c r="S207" i="18"/>
  <c r="J212" i="16"/>
  <c r="K212" i="16" s="1"/>
  <c r="R211" i="18"/>
  <c r="Q210" i="18" l="1"/>
  <c r="S208" i="18"/>
  <c r="J213" i="16"/>
  <c r="K213" i="16" s="1"/>
  <c r="R212" i="18"/>
  <c r="Q211" i="18" l="1"/>
  <c r="S209" i="18"/>
  <c r="J214" i="16"/>
  <c r="K214" i="16" s="1"/>
  <c r="R213" i="18"/>
  <c r="Q212" i="18" l="1"/>
  <c r="S210" i="18"/>
  <c r="J215" i="16"/>
  <c r="K215" i="16" s="1"/>
  <c r="R214" i="18"/>
  <c r="Q213" i="18" l="1"/>
  <c r="S211" i="18"/>
  <c r="J216" i="16"/>
  <c r="K216" i="16" s="1"/>
  <c r="R215" i="18"/>
  <c r="Q214" i="18" l="1"/>
  <c r="S212" i="18"/>
  <c r="J217" i="16"/>
  <c r="K217" i="16" s="1"/>
  <c r="R216" i="18"/>
  <c r="Q215" i="18" l="1"/>
  <c r="S213" i="18"/>
  <c r="J218" i="16"/>
  <c r="K218" i="16" s="1"/>
  <c r="R217" i="18"/>
  <c r="Q216" i="18" l="1"/>
  <c r="S214" i="18"/>
  <c r="J219" i="16"/>
  <c r="K219" i="16" s="1"/>
  <c r="R218" i="18"/>
  <c r="Q217" i="18" l="1"/>
  <c r="S215" i="18"/>
  <c r="J220" i="16"/>
  <c r="K220" i="16" s="1"/>
  <c r="R219" i="18"/>
  <c r="Q218" i="18" l="1"/>
  <c r="S216" i="18"/>
  <c r="J221" i="16"/>
  <c r="K221" i="16" s="1"/>
  <c r="R220" i="18"/>
  <c r="Q219" i="18" l="1"/>
  <c r="S217" i="18"/>
  <c r="J222" i="16"/>
  <c r="K222" i="16" s="1"/>
  <c r="R221" i="18"/>
  <c r="Q220" i="18" l="1"/>
  <c r="S218" i="18"/>
  <c r="J223" i="16"/>
  <c r="K223" i="16" s="1"/>
  <c r="R222" i="18"/>
  <c r="Q221" i="18" l="1"/>
  <c r="S219" i="18"/>
  <c r="J224" i="16"/>
  <c r="K224" i="16" s="1"/>
  <c r="R223" i="18"/>
  <c r="Q222" i="18" l="1"/>
  <c r="S220" i="18"/>
  <c r="J225" i="16"/>
  <c r="K225" i="16" s="1"/>
  <c r="R224" i="18"/>
  <c r="Q223" i="18" l="1"/>
  <c r="S221" i="18"/>
  <c r="J226" i="16"/>
  <c r="K226" i="16" s="1"/>
  <c r="R225" i="18"/>
  <c r="Q224" i="18" l="1"/>
  <c r="S222" i="18"/>
  <c r="J227" i="16"/>
  <c r="K227" i="16" s="1"/>
  <c r="R226" i="18"/>
  <c r="Q225" i="18" l="1"/>
  <c r="S223" i="18"/>
  <c r="J228" i="16"/>
  <c r="K228" i="16" s="1"/>
  <c r="R227" i="18"/>
  <c r="Q226" i="18" l="1"/>
  <c r="S224" i="18"/>
  <c r="J229" i="16"/>
  <c r="K229" i="16" s="1"/>
  <c r="R228" i="18"/>
  <c r="Q227" i="18" l="1"/>
  <c r="S225" i="18"/>
  <c r="J230" i="16"/>
  <c r="K230" i="16" s="1"/>
  <c r="R229" i="18"/>
  <c r="Q228" i="18" l="1"/>
  <c r="S226" i="18"/>
  <c r="J231" i="16"/>
  <c r="K231" i="16" s="1"/>
  <c r="R230" i="18"/>
  <c r="Q229" i="18" l="1"/>
  <c r="S227" i="18"/>
  <c r="J232" i="16"/>
  <c r="K232" i="16" s="1"/>
  <c r="R231" i="18"/>
  <c r="Q230" i="18" l="1"/>
  <c r="S228" i="18"/>
  <c r="J233" i="16"/>
  <c r="K233" i="16" s="1"/>
  <c r="R232" i="18"/>
  <c r="Q231" i="18" l="1"/>
  <c r="S229" i="18"/>
  <c r="J234" i="16"/>
  <c r="K234" i="16" s="1"/>
  <c r="R233" i="18"/>
  <c r="Q232" i="18" l="1"/>
  <c r="S230" i="18"/>
  <c r="J235" i="16"/>
  <c r="K235" i="16" s="1"/>
  <c r="R234" i="18"/>
  <c r="Q233" i="18" l="1"/>
  <c r="S231" i="18"/>
  <c r="J236" i="16"/>
  <c r="K236" i="16" s="1"/>
  <c r="R235" i="18"/>
  <c r="Q234" i="18" l="1"/>
  <c r="S232" i="18"/>
  <c r="J237" i="16"/>
  <c r="K237" i="16" s="1"/>
  <c r="R236" i="18"/>
  <c r="Q235" i="18" l="1"/>
  <c r="S233" i="18"/>
  <c r="J238" i="16"/>
  <c r="K238" i="16" s="1"/>
  <c r="R237" i="18"/>
  <c r="Q236" i="18" l="1"/>
  <c r="S234" i="18"/>
  <c r="J239" i="16"/>
  <c r="K239" i="16" s="1"/>
  <c r="R238" i="18"/>
  <c r="Q237" i="18" l="1"/>
  <c r="S235" i="18"/>
  <c r="J240" i="16"/>
  <c r="K240" i="16" s="1"/>
  <c r="R239" i="18"/>
  <c r="Q238" i="18" l="1"/>
  <c r="S236" i="18"/>
  <c r="J241" i="16"/>
  <c r="K241" i="16" s="1"/>
  <c r="R240" i="18"/>
  <c r="Q239" i="18" l="1"/>
  <c r="S237" i="18"/>
  <c r="J242" i="16"/>
  <c r="K242" i="16" s="1"/>
  <c r="R241" i="18"/>
  <c r="Q240" i="18" l="1"/>
  <c r="S238" i="18"/>
  <c r="J243" i="16"/>
  <c r="K243" i="16" s="1"/>
  <c r="R242" i="18"/>
  <c r="Q241" i="18" l="1"/>
  <c r="S239" i="18"/>
  <c r="J244" i="16"/>
  <c r="K244" i="16" s="1"/>
  <c r="R243" i="18"/>
  <c r="Q242" i="18" l="1"/>
  <c r="S240" i="18"/>
  <c r="J245" i="16"/>
  <c r="K245" i="16" s="1"/>
  <c r="R244" i="18"/>
  <c r="Q243" i="18" l="1"/>
  <c r="S241" i="18"/>
  <c r="J246" i="16"/>
  <c r="K246" i="16" s="1"/>
  <c r="R245" i="18"/>
  <c r="Q244" i="18" l="1"/>
  <c r="S242" i="18"/>
  <c r="J247" i="16"/>
  <c r="K247" i="16" s="1"/>
  <c r="R246" i="18"/>
  <c r="Q245" i="18" l="1"/>
  <c r="S243" i="18"/>
  <c r="J248" i="16"/>
  <c r="K248" i="16" s="1"/>
  <c r="R247" i="18"/>
  <c r="Q246" i="18" l="1"/>
  <c r="S244" i="18"/>
  <c r="J249" i="16"/>
  <c r="K249" i="16" s="1"/>
  <c r="R248" i="18"/>
  <c r="Q247" i="18" l="1"/>
  <c r="S245" i="18"/>
  <c r="J250" i="16"/>
  <c r="K250" i="16" s="1"/>
  <c r="R249" i="18"/>
  <c r="Q248" i="18" l="1"/>
  <c r="S246" i="18"/>
  <c r="J251" i="16"/>
  <c r="K251" i="16" s="1"/>
  <c r="R250" i="18"/>
  <c r="Q249" i="18" l="1"/>
  <c r="S247" i="18"/>
  <c r="J252" i="16"/>
  <c r="K252" i="16" s="1"/>
  <c r="R251" i="18"/>
  <c r="Q250" i="18" l="1"/>
  <c r="S248" i="18"/>
  <c r="J253" i="16"/>
  <c r="K253" i="16" s="1"/>
  <c r="R252" i="18"/>
  <c r="Q251" i="18" l="1"/>
  <c r="S249" i="18"/>
  <c r="J254" i="16"/>
  <c r="K254" i="16" s="1"/>
  <c r="R253" i="18"/>
  <c r="Q252" i="18" l="1"/>
  <c r="S250" i="18"/>
  <c r="J255" i="16"/>
  <c r="K255" i="16" s="1"/>
  <c r="R254" i="18"/>
  <c r="Q253" i="18" l="1"/>
  <c r="S251" i="18"/>
  <c r="J256" i="16"/>
  <c r="K256" i="16" s="1"/>
  <c r="R255" i="18"/>
  <c r="Q254" i="18" l="1"/>
  <c r="S252" i="18"/>
  <c r="J257" i="16"/>
  <c r="K257" i="16" s="1"/>
  <c r="R256" i="18"/>
  <c r="Q255" i="18" l="1"/>
  <c r="S253" i="18"/>
  <c r="J258" i="16"/>
  <c r="K258" i="16" s="1"/>
  <c r="R257" i="18"/>
  <c r="Q256" i="18" l="1"/>
  <c r="S254" i="18"/>
  <c r="J259" i="16"/>
  <c r="K259" i="16" s="1"/>
  <c r="R258" i="18"/>
  <c r="Q257" i="18" l="1"/>
  <c r="S255" i="18"/>
  <c r="J260" i="16"/>
  <c r="K260" i="16" s="1"/>
  <c r="R259" i="18"/>
  <c r="Q258" i="18" l="1"/>
  <c r="S256" i="18"/>
  <c r="J261" i="16"/>
  <c r="K261" i="16" s="1"/>
  <c r="R260" i="18"/>
  <c r="Q259" i="18" l="1"/>
  <c r="S257" i="18"/>
  <c r="J262" i="16"/>
  <c r="K262" i="16" s="1"/>
  <c r="R261" i="18"/>
  <c r="Q260" i="18" l="1"/>
  <c r="S258" i="18"/>
  <c r="J263" i="16"/>
  <c r="K263" i="16" s="1"/>
  <c r="R262" i="18"/>
  <c r="Q261" i="18" l="1"/>
  <c r="S259" i="18"/>
  <c r="J264" i="16"/>
  <c r="K264" i="16" s="1"/>
  <c r="R263" i="18"/>
  <c r="Q262" i="18" l="1"/>
  <c r="S260" i="18"/>
  <c r="J265" i="16"/>
  <c r="K265" i="16" s="1"/>
  <c r="R264" i="18"/>
  <c r="Q263" i="18" l="1"/>
  <c r="S261" i="18"/>
  <c r="J266" i="16"/>
  <c r="K266" i="16" s="1"/>
  <c r="R265" i="18"/>
  <c r="Q264" i="18" l="1"/>
  <c r="S262" i="18"/>
  <c r="J267" i="16"/>
  <c r="K267" i="16" s="1"/>
  <c r="R266" i="18"/>
  <c r="Q265" i="18" l="1"/>
  <c r="S263" i="18"/>
  <c r="J268" i="16"/>
  <c r="K268" i="16" s="1"/>
  <c r="R267" i="18"/>
  <c r="Q266" i="18" l="1"/>
  <c r="S264" i="18"/>
  <c r="J269" i="16"/>
  <c r="K269" i="16" s="1"/>
  <c r="R268" i="18"/>
  <c r="Q267" i="18" l="1"/>
  <c r="S265" i="18"/>
  <c r="J270" i="16"/>
  <c r="K270" i="16" s="1"/>
  <c r="R269" i="18"/>
  <c r="Q268" i="18" l="1"/>
  <c r="S266" i="18"/>
  <c r="J271" i="16"/>
  <c r="K271" i="16" s="1"/>
  <c r="R270" i="18"/>
  <c r="Q269" i="18" l="1"/>
  <c r="S267" i="18"/>
  <c r="J272" i="16"/>
  <c r="K272" i="16" s="1"/>
  <c r="R271" i="18"/>
  <c r="Q270" i="18" l="1"/>
  <c r="S268" i="18"/>
  <c r="J273" i="16"/>
  <c r="K273" i="16" s="1"/>
  <c r="R272" i="18"/>
  <c r="Q271" i="18" l="1"/>
  <c r="S269" i="18"/>
  <c r="J274" i="16"/>
  <c r="K274" i="16" s="1"/>
  <c r="R273" i="18"/>
  <c r="Q272" i="18" l="1"/>
  <c r="S270" i="18"/>
  <c r="J275" i="16"/>
  <c r="K275" i="16" s="1"/>
  <c r="R274" i="18"/>
  <c r="Q273" i="18" l="1"/>
  <c r="S271" i="18"/>
  <c r="J276" i="16"/>
  <c r="K276" i="16" s="1"/>
  <c r="R275" i="18"/>
  <c r="Q274" i="18" l="1"/>
  <c r="S272" i="18"/>
  <c r="J277" i="16"/>
  <c r="K277" i="16" s="1"/>
  <c r="R276" i="18"/>
  <c r="Q275" i="18" l="1"/>
  <c r="S273" i="18"/>
  <c r="J278" i="16"/>
  <c r="K278" i="16" s="1"/>
  <c r="R277" i="18"/>
  <c r="Q276" i="18" l="1"/>
  <c r="S274" i="18"/>
  <c r="J279" i="16"/>
  <c r="K279" i="16" s="1"/>
  <c r="R278" i="18"/>
  <c r="Q277" i="18" l="1"/>
  <c r="S275" i="18"/>
  <c r="J280" i="16"/>
  <c r="K280" i="16" s="1"/>
  <c r="R279" i="18"/>
  <c r="Q278" i="18" l="1"/>
  <c r="S276" i="18"/>
  <c r="J281" i="16"/>
  <c r="K281" i="16" s="1"/>
  <c r="R280" i="18"/>
  <c r="Q279" i="18" l="1"/>
  <c r="S277" i="18"/>
  <c r="J282" i="16"/>
  <c r="K282" i="16" s="1"/>
  <c r="R281" i="18"/>
  <c r="Q280" i="18" l="1"/>
  <c r="S278" i="18"/>
  <c r="J283" i="16"/>
  <c r="K283" i="16" s="1"/>
  <c r="R282" i="18"/>
  <c r="Q281" i="18" l="1"/>
  <c r="S279" i="18"/>
  <c r="J284" i="16"/>
  <c r="K284" i="16" s="1"/>
  <c r="R283" i="18"/>
  <c r="Q282" i="18" l="1"/>
  <c r="S280" i="18"/>
  <c r="J285" i="16"/>
  <c r="K285" i="16" s="1"/>
  <c r="R284" i="18"/>
  <c r="Q283" i="18" l="1"/>
  <c r="S281" i="18"/>
  <c r="J286" i="16"/>
  <c r="K286" i="16" s="1"/>
  <c r="R285" i="18"/>
  <c r="Q284" i="18" l="1"/>
  <c r="S282" i="18"/>
  <c r="J287" i="16"/>
  <c r="K287" i="16" s="1"/>
  <c r="R286" i="18"/>
  <c r="Q285" i="18" l="1"/>
  <c r="S283" i="18"/>
  <c r="J288" i="16"/>
  <c r="K288" i="16" s="1"/>
  <c r="R287" i="18"/>
  <c r="Q286" i="18" l="1"/>
  <c r="S284" i="18"/>
  <c r="J289" i="16"/>
  <c r="K289" i="16" s="1"/>
  <c r="R288" i="18"/>
  <c r="Q287" i="18" l="1"/>
  <c r="S285" i="18"/>
  <c r="J290" i="16"/>
  <c r="K290" i="16" s="1"/>
  <c r="R289" i="18"/>
  <c r="Q288" i="18" l="1"/>
  <c r="S286" i="18"/>
  <c r="J291" i="16"/>
  <c r="K291" i="16" s="1"/>
  <c r="R290" i="18"/>
  <c r="Q289" i="18" l="1"/>
  <c r="S287" i="18"/>
  <c r="J292" i="16"/>
  <c r="K292" i="16" s="1"/>
  <c r="R291" i="18"/>
  <c r="Q290" i="18" l="1"/>
  <c r="S288" i="18"/>
  <c r="J293" i="16"/>
  <c r="K293" i="16" s="1"/>
  <c r="R292" i="18"/>
  <c r="Q291" i="18" l="1"/>
  <c r="S289" i="18"/>
  <c r="J294" i="16"/>
  <c r="K294" i="16" s="1"/>
  <c r="R293" i="18"/>
  <c r="Q292" i="18" l="1"/>
  <c r="S290" i="18"/>
  <c r="J295" i="16"/>
  <c r="K295" i="16" s="1"/>
  <c r="R294" i="18"/>
  <c r="Q293" i="18" l="1"/>
  <c r="S291" i="18"/>
  <c r="J296" i="16"/>
  <c r="K296" i="16" s="1"/>
  <c r="R295" i="18"/>
  <c r="Q294" i="18" l="1"/>
  <c r="S292" i="18"/>
  <c r="J297" i="16"/>
  <c r="K297" i="16" s="1"/>
  <c r="R296" i="18"/>
  <c r="Q295" i="18" l="1"/>
  <c r="S293" i="18"/>
  <c r="J298" i="16"/>
  <c r="K298" i="16" s="1"/>
  <c r="R297" i="18"/>
  <c r="Q296" i="18" l="1"/>
  <c r="S294" i="18"/>
  <c r="J299" i="16"/>
  <c r="K299" i="16" s="1"/>
  <c r="R298" i="18"/>
  <c r="Q297" i="18" l="1"/>
  <c r="S295" i="18"/>
  <c r="J300" i="16"/>
  <c r="K300" i="16" s="1"/>
  <c r="R299" i="18"/>
  <c r="Q298" i="18" l="1"/>
  <c r="S296" i="18"/>
  <c r="J301" i="16"/>
  <c r="K301" i="16" s="1"/>
  <c r="R300" i="18"/>
  <c r="Q299" i="18" l="1"/>
  <c r="S297" i="18"/>
  <c r="J302" i="16"/>
  <c r="K302" i="16" s="1"/>
  <c r="R301" i="18"/>
  <c r="Q300" i="18" l="1"/>
  <c r="S298" i="18"/>
  <c r="J303" i="16"/>
  <c r="K303" i="16" s="1"/>
  <c r="R302" i="18"/>
  <c r="Q301" i="18" l="1"/>
  <c r="S299" i="18"/>
  <c r="J304" i="16"/>
  <c r="K304" i="16" s="1"/>
  <c r="R303" i="18"/>
  <c r="Q302" i="18" l="1"/>
  <c r="S300" i="18"/>
  <c r="J305" i="16"/>
  <c r="K305" i="16" s="1"/>
  <c r="R304" i="18"/>
  <c r="Q303" i="18" l="1"/>
  <c r="S301" i="18"/>
  <c r="J306" i="16"/>
  <c r="K306" i="16" s="1"/>
  <c r="R305" i="18"/>
  <c r="Q304" i="18" l="1"/>
  <c r="S302" i="18"/>
  <c r="J307" i="16"/>
  <c r="K307" i="16" s="1"/>
  <c r="R306" i="18"/>
  <c r="Q305" i="18" l="1"/>
  <c r="S303" i="18"/>
  <c r="J308" i="16"/>
  <c r="K308" i="16" s="1"/>
  <c r="R307" i="18"/>
  <c r="Q306" i="18" l="1"/>
  <c r="S304" i="18"/>
  <c r="J309" i="16"/>
  <c r="K309" i="16" s="1"/>
  <c r="R308" i="18"/>
  <c r="Q307" i="18" l="1"/>
  <c r="S305" i="18"/>
  <c r="J310" i="16"/>
  <c r="K310" i="16" s="1"/>
  <c r="R309" i="18"/>
  <c r="Q308" i="18" l="1"/>
  <c r="S306" i="18"/>
  <c r="J311" i="16"/>
  <c r="K311" i="16" s="1"/>
  <c r="R310" i="18"/>
  <c r="Q309" i="18" l="1"/>
  <c r="S307" i="18"/>
  <c r="J312" i="16"/>
  <c r="K312" i="16" s="1"/>
  <c r="R311" i="18"/>
  <c r="Q310" i="18" l="1"/>
  <c r="S308" i="18"/>
  <c r="J313" i="16"/>
  <c r="K313" i="16" s="1"/>
  <c r="R312" i="18"/>
  <c r="Q311" i="18" l="1"/>
  <c r="S309" i="18"/>
  <c r="J314" i="16"/>
  <c r="K314" i="16" s="1"/>
  <c r="R313" i="18"/>
  <c r="Q312" i="18" l="1"/>
  <c r="S310" i="18"/>
  <c r="J315" i="16"/>
  <c r="K315" i="16" s="1"/>
  <c r="R314" i="18"/>
  <c r="Q313" i="18" l="1"/>
  <c r="S311" i="18"/>
  <c r="J316" i="16"/>
  <c r="K316" i="16" s="1"/>
  <c r="R315" i="18"/>
  <c r="Q314" i="18" l="1"/>
  <c r="S312" i="18"/>
  <c r="J317" i="16"/>
  <c r="K317" i="16" s="1"/>
  <c r="R316" i="18"/>
  <c r="Q315" i="18" l="1"/>
  <c r="S313" i="18"/>
  <c r="J318" i="16"/>
  <c r="K318" i="16" s="1"/>
  <c r="R317" i="18"/>
  <c r="Q316" i="18" l="1"/>
  <c r="S314" i="18"/>
  <c r="J319" i="16"/>
  <c r="K319" i="16" s="1"/>
  <c r="R318" i="18"/>
  <c r="Q317" i="18" l="1"/>
  <c r="S315" i="18"/>
  <c r="J320" i="16"/>
  <c r="K320" i="16" s="1"/>
  <c r="R319" i="18"/>
  <c r="Q318" i="18" l="1"/>
  <c r="S316" i="18"/>
  <c r="J321" i="16"/>
  <c r="K321" i="16" s="1"/>
  <c r="R320" i="18"/>
  <c r="Q319" i="18" l="1"/>
  <c r="S317" i="18"/>
  <c r="J322" i="16"/>
  <c r="K322" i="16" s="1"/>
  <c r="R321" i="18"/>
  <c r="Q320" i="18" l="1"/>
  <c r="S318" i="18"/>
  <c r="J323" i="16"/>
  <c r="K323" i="16" s="1"/>
  <c r="R322" i="18"/>
  <c r="Q321" i="18" l="1"/>
  <c r="S319" i="18"/>
  <c r="J324" i="16"/>
  <c r="K324" i="16" s="1"/>
  <c r="R323" i="18"/>
  <c r="Q322" i="18" l="1"/>
  <c r="S320" i="18"/>
  <c r="J325" i="16"/>
  <c r="K325" i="16" s="1"/>
  <c r="R324" i="18"/>
  <c r="Q323" i="18" l="1"/>
  <c r="S321" i="18"/>
  <c r="J326" i="16"/>
  <c r="K326" i="16" s="1"/>
  <c r="R325" i="18"/>
  <c r="Q324" i="18" l="1"/>
  <c r="S322" i="18"/>
  <c r="J327" i="16"/>
  <c r="K327" i="16" s="1"/>
  <c r="R326" i="18"/>
  <c r="Q325" i="18" l="1"/>
  <c r="S323" i="18"/>
  <c r="J328" i="16"/>
  <c r="K328" i="16" s="1"/>
  <c r="R327" i="18"/>
  <c r="Q326" i="18" l="1"/>
  <c r="S324" i="18"/>
  <c r="J329" i="16"/>
  <c r="K329" i="16" s="1"/>
  <c r="R328" i="18"/>
  <c r="Q327" i="18" l="1"/>
  <c r="S325" i="18"/>
  <c r="J330" i="16"/>
  <c r="K330" i="16" s="1"/>
  <c r="R329" i="18"/>
  <c r="Q328" i="18" l="1"/>
  <c r="S326" i="18"/>
  <c r="J331" i="16"/>
  <c r="K331" i="16" s="1"/>
  <c r="R330" i="18"/>
  <c r="Q329" i="18" l="1"/>
  <c r="S327" i="18"/>
  <c r="J332" i="16"/>
  <c r="K332" i="16" s="1"/>
  <c r="R331" i="18"/>
  <c r="Q330" i="18" l="1"/>
  <c r="S328" i="18"/>
  <c r="J333" i="16"/>
  <c r="K333" i="16" s="1"/>
  <c r="R332" i="18"/>
  <c r="Q331" i="18" l="1"/>
  <c r="S329" i="18"/>
  <c r="J334" i="16"/>
  <c r="K334" i="16" s="1"/>
  <c r="R333" i="18"/>
  <c r="Q332" i="18" l="1"/>
  <c r="S330" i="18"/>
  <c r="J335" i="16"/>
  <c r="K335" i="16" s="1"/>
  <c r="R334" i="18"/>
  <c r="Q333" i="18" l="1"/>
  <c r="S331" i="18"/>
  <c r="J336" i="16"/>
  <c r="K336" i="16" s="1"/>
  <c r="R335" i="18"/>
  <c r="Q334" i="18" l="1"/>
  <c r="S332" i="18"/>
  <c r="J337" i="16"/>
  <c r="K337" i="16" s="1"/>
  <c r="R336" i="18"/>
  <c r="Q335" i="18" l="1"/>
  <c r="S333" i="18"/>
  <c r="J338" i="16"/>
  <c r="K338" i="16" s="1"/>
  <c r="R337" i="18"/>
  <c r="Q336" i="18" l="1"/>
  <c r="S334" i="18"/>
  <c r="J339" i="16"/>
  <c r="K339" i="16" s="1"/>
  <c r="R338" i="18"/>
  <c r="Q337" i="18" l="1"/>
  <c r="S335" i="18"/>
  <c r="J340" i="16"/>
  <c r="K340" i="16" s="1"/>
  <c r="R339" i="18"/>
  <c r="Q338" i="18" l="1"/>
  <c r="S336" i="18"/>
  <c r="J341" i="16"/>
  <c r="K341" i="16" s="1"/>
  <c r="R340" i="18"/>
  <c r="Q339" i="18" l="1"/>
  <c r="S337" i="18"/>
  <c r="J342" i="16"/>
  <c r="K342" i="16" s="1"/>
  <c r="R341" i="18"/>
  <c r="Q340" i="18" l="1"/>
  <c r="S338" i="18"/>
  <c r="J343" i="16"/>
  <c r="K343" i="16" s="1"/>
  <c r="R342" i="18"/>
  <c r="Q341" i="18" l="1"/>
  <c r="S339" i="18"/>
  <c r="J344" i="16"/>
  <c r="K344" i="16" s="1"/>
  <c r="R343" i="18"/>
  <c r="Q342" i="18" l="1"/>
  <c r="S340" i="18"/>
  <c r="J345" i="16"/>
  <c r="K345" i="16" s="1"/>
  <c r="R344" i="18"/>
  <c r="Q343" i="18" l="1"/>
  <c r="S341" i="18"/>
  <c r="J346" i="16"/>
  <c r="K346" i="16" s="1"/>
  <c r="R345" i="18"/>
  <c r="Q344" i="18" l="1"/>
  <c r="S342" i="18"/>
  <c r="J347" i="16"/>
  <c r="K347" i="16" s="1"/>
  <c r="R346" i="18"/>
  <c r="Q345" i="18" l="1"/>
  <c r="S343" i="18"/>
  <c r="J348" i="16"/>
  <c r="K348" i="16" s="1"/>
  <c r="R347" i="18"/>
  <c r="Q346" i="18" l="1"/>
  <c r="S344" i="18"/>
  <c r="J349" i="16"/>
  <c r="K349" i="16" s="1"/>
  <c r="R348" i="18"/>
  <c r="Q347" i="18" l="1"/>
  <c r="S345" i="18"/>
  <c r="J350" i="16"/>
  <c r="K350" i="16" s="1"/>
  <c r="R349" i="18"/>
  <c r="Q348" i="18" l="1"/>
  <c r="S346" i="18"/>
  <c r="J351" i="16"/>
  <c r="K351" i="16" s="1"/>
  <c r="R350" i="18"/>
  <c r="Q349" i="18" l="1"/>
  <c r="S347" i="18"/>
  <c r="J352" i="16"/>
  <c r="K352" i="16" s="1"/>
  <c r="R351" i="18"/>
  <c r="Q350" i="18" l="1"/>
  <c r="S348" i="18"/>
  <c r="J353" i="16"/>
  <c r="K353" i="16" s="1"/>
  <c r="R352" i="18"/>
  <c r="Q351" i="18" l="1"/>
  <c r="S349" i="18"/>
  <c r="J354" i="16"/>
  <c r="K354" i="16" s="1"/>
  <c r="R353" i="18"/>
  <c r="Q352" i="18" l="1"/>
  <c r="S350" i="18"/>
  <c r="J355" i="16"/>
  <c r="K355" i="16" s="1"/>
  <c r="R354" i="18"/>
  <c r="Q353" i="18" l="1"/>
  <c r="S351" i="18"/>
  <c r="J356" i="16"/>
  <c r="K356" i="16" s="1"/>
  <c r="R355" i="18"/>
  <c r="Q354" i="18" l="1"/>
  <c r="S352" i="18"/>
  <c r="J357" i="16"/>
  <c r="K357" i="16" s="1"/>
  <c r="R356" i="18"/>
  <c r="Q355" i="18" l="1"/>
  <c r="S353" i="18"/>
  <c r="J358" i="16"/>
  <c r="K358" i="16" s="1"/>
  <c r="R357" i="18"/>
  <c r="Q356" i="18" l="1"/>
  <c r="S354" i="18"/>
  <c r="J359" i="16"/>
  <c r="K359" i="16" s="1"/>
  <c r="R358" i="18"/>
  <c r="Q357" i="18" l="1"/>
  <c r="S355" i="18"/>
  <c r="J360" i="16"/>
  <c r="K360" i="16" s="1"/>
  <c r="R359" i="18"/>
  <c r="Q358" i="18" l="1"/>
  <c r="S356" i="18"/>
  <c r="J361" i="16"/>
  <c r="K361" i="16" s="1"/>
  <c r="R360" i="18"/>
  <c r="Q359" i="18" l="1"/>
  <c r="S357" i="18"/>
  <c r="J362" i="16"/>
  <c r="K362" i="16" s="1"/>
  <c r="R361" i="18"/>
  <c r="Q360" i="18" l="1"/>
  <c r="S358" i="18"/>
  <c r="J363" i="16"/>
  <c r="K363" i="16" s="1"/>
  <c r="R362" i="18"/>
  <c r="R365" i="18" s="1"/>
  <c r="Q361" i="18" l="1"/>
  <c r="S359" i="18"/>
  <c r="J364" i="16"/>
  <c r="K364" i="16" s="1"/>
  <c r="H365" i="18" l="1"/>
  <c r="H366" i="18" s="1"/>
  <c r="I365" i="18"/>
  <c r="Q363" i="18"/>
  <c r="Q365" i="18" s="1"/>
  <c r="Q362" i="18"/>
  <c r="S360" i="18"/>
  <c r="J365" i="16"/>
  <c r="K365" i="16" s="1"/>
  <c r="S363" i="18" l="1"/>
  <c r="S361" i="18"/>
  <c r="J366" i="16"/>
  <c r="K366" i="16" s="1"/>
  <c r="S365" i="18" l="1"/>
  <c r="S362" i="18"/>
  <c r="J367" i="16"/>
  <c r="K367" i="16" s="1"/>
  <c r="J368" i="16" l="1"/>
  <c r="K368" i="16" s="1"/>
  <c r="J369" i="16" l="1"/>
  <c r="K369" i="16" s="1"/>
  <c r="J370" i="16" l="1"/>
  <c r="K370" i="16" s="1"/>
  <c r="J371" i="16" l="1"/>
  <c r="K371" i="16" s="1"/>
  <c r="J372" i="16" l="1"/>
  <c r="K372" i="16" s="1"/>
  <c r="J373" i="16" l="1"/>
  <c r="K373" i="16" s="1"/>
  <c r="J374" i="16" l="1"/>
  <c r="K374" i="16" s="1"/>
  <c r="Q376" i="16"/>
  <c r="P11" i="16" l="1"/>
  <c r="S11" i="16" s="1"/>
  <c r="T18" i="16"/>
  <c r="T22" i="16"/>
  <c r="T26" i="16"/>
  <c r="T30" i="16"/>
  <c r="T34" i="16"/>
  <c r="T38" i="16"/>
  <c r="T19" i="16"/>
  <c r="T23" i="16"/>
  <c r="T27" i="16"/>
  <c r="T31" i="16"/>
  <c r="T35" i="16"/>
  <c r="T39" i="16"/>
  <c r="T20" i="16"/>
  <c r="T24" i="16"/>
  <c r="T28" i="16"/>
  <c r="T32" i="16"/>
  <c r="T36" i="16"/>
  <c r="T17" i="16"/>
  <c r="T21" i="16"/>
  <c r="T25" i="16"/>
  <c r="T29" i="16"/>
  <c r="T33" i="16"/>
  <c r="T37" i="16"/>
  <c r="T16" i="16"/>
  <c r="T15" i="16"/>
  <c r="Q13" i="16" l="1"/>
  <c r="V15" i="16"/>
  <c r="U15" i="16"/>
  <c r="W15" i="16" s="1"/>
  <c r="X15" i="16" l="1"/>
  <c r="V16" i="16"/>
  <c r="U16" i="16"/>
  <c r="W16" i="16" l="1"/>
  <c r="U17" i="16"/>
  <c r="V17" i="16"/>
  <c r="J15" i="16"/>
  <c r="K15" i="16" s="1"/>
  <c r="U18" i="16" l="1"/>
  <c r="W17" i="16"/>
  <c r="X17" i="16" s="1"/>
  <c r="J17" i="16" s="1"/>
  <c r="K17" i="16" s="1"/>
  <c r="V18" i="16"/>
  <c r="X16" i="16"/>
  <c r="J16" i="16" l="1"/>
  <c r="K16" i="16" s="1"/>
  <c r="U19" i="16"/>
  <c r="W18" i="16"/>
  <c r="X18" i="16" s="1"/>
  <c r="V19" i="16"/>
  <c r="J18" i="16" l="1"/>
  <c r="K18" i="16" s="1"/>
  <c r="U20" i="16"/>
  <c r="W19" i="16"/>
  <c r="V20" i="16"/>
  <c r="X19" i="16" l="1"/>
  <c r="U21" i="16"/>
  <c r="W20" i="16"/>
  <c r="X20" i="16" s="1"/>
  <c r="J20" i="16" s="1"/>
  <c r="K20" i="16" s="1"/>
  <c r="V21" i="16"/>
  <c r="J19" i="16" l="1"/>
  <c r="K19" i="16" s="1"/>
  <c r="U22" i="16"/>
  <c r="W21" i="16"/>
  <c r="V22" i="16"/>
  <c r="U23" i="16" l="1"/>
  <c r="W22" i="16"/>
  <c r="X22" i="16" s="1"/>
  <c r="V23" i="16"/>
  <c r="X21" i="16"/>
  <c r="J22" i="16" l="1"/>
  <c r="K22" i="16" s="1"/>
  <c r="U24" i="16"/>
  <c r="W23" i="16"/>
  <c r="X23" i="16" s="1"/>
  <c r="J23" i="16" s="1"/>
  <c r="K23" i="16" s="1"/>
  <c r="V24" i="16"/>
  <c r="J21" i="16"/>
  <c r="K21" i="16" s="1"/>
  <c r="U25" i="16" l="1"/>
  <c r="W24" i="16"/>
  <c r="X24" i="16" s="1"/>
  <c r="V25" i="16"/>
  <c r="J24" i="16" l="1"/>
  <c r="K24" i="16" s="1"/>
  <c r="U26" i="16"/>
  <c r="W25" i="16"/>
  <c r="X25" i="16" s="1"/>
  <c r="V26" i="16"/>
  <c r="J25" i="16" l="1"/>
  <c r="K25" i="16" s="1"/>
  <c r="U27" i="16"/>
  <c r="W26" i="16"/>
  <c r="X26" i="16" s="1"/>
  <c r="V27" i="16"/>
  <c r="J26" i="16" l="1"/>
  <c r="K26" i="16" s="1"/>
  <c r="U28" i="16"/>
  <c r="W27" i="16"/>
  <c r="X27" i="16" s="1"/>
  <c r="V28" i="16"/>
  <c r="J27" i="16" l="1"/>
  <c r="K27" i="16" s="1"/>
  <c r="U29" i="16"/>
  <c r="W28" i="16"/>
  <c r="X28" i="16" s="1"/>
  <c r="V29" i="16"/>
  <c r="V30" i="16" s="1"/>
  <c r="T376" i="16"/>
  <c r="T13" i="16" s="1"/>
  <c r="J28" i="16" l="1"/>
  <c r="K28" i="16" s="1"/>
  <c r="U30" i="16"/>
  <c r="W29" i="16"/>
  <c r="U31" i="16" l="1"/>
  <c r="W30" i="16"/>
  <c r="X29" i="16"/>
  <c r="X30" i="16"/>
  <c r="J29" i="16" l="1"/>
  <c r="K29" i="16" s="1"/>
  <c r="J30" i="16"/>
  <c r="K30" i="16" s="1"/>
  <c r="U32" i="16"/>
  <c r="W31" i="16"/>
  <c r="J31" i="16"/>
  <c r="K31" i="16" s="1"/>
  <c r="J32" i="16"/>
  <c r="K32" i="16" s="1"/>
  <c r="U33" i="16" l="1"/>
  <c r="W32" i="16"/>
  <c r="J33" i="16"/>
  <c r="K33" i="16" s="1"/>
  <c r="U34" i="16" l="1"/>
  <c r="W33" i="16"/>
  <c r="J34" i="16"/>
  <c r="K34" i="16" s="1"/>
  <c r="U35" i="16" l="1"/>
  <c r="W34" i="16"/>
  <c r="J35" i="16"/>
  <c r="K35" i="16" s="1"/>
  <c r="U36" i="16" l="1"/>
  <c r="W35" i="16"/>
  <c r="J36" i="16"/>
  <c r="K36" i="16" s="1"/>
  <c r="V376" i="16"/>
  <c r="U37" i="16" l="1"/>
  <c r="W36" i="16"/>
  <c r="J37" i="16"/>
  <c r="K37" i="16" s="1"/>
  <c r="U38" i="16" l="1"/>
  <c r="W37" i="16"/>
  <c r="J38" i="16"/>
  <c r="K38" i="16" s="1"/>
  <c r="J39" i="16"/>
  <c r="K39" i="16" s="1"/>
  <c r="G376" i="16" l="1"/>
  <c r="U39" i="16"/>
  <c r="W38" i="16"/>
  <c r="U376" i="16"/>
  <c r="U13" i="16" s="1"/>
  <c r="W39" i="16" l="1"/>
  <c r="X376" i="16"/>
  <c r="W376" i="16"/>
  <c r="W12" i="16" s="1"/>
</calcChain>
</file>

<file path=xl/sharedStrings.xml><?xml version="1.0" encoding="utf-8"?>
<sst xmlns="http://schemas.openxmlformats.org/spreadsheetml/2006/main" count="59" uniqueCount="34">
  <si>
    <t>Accounting
Period</t>
  </si>
  <si>
    <t>First Day of
Rent Month</t>
  </si>
  <si>
    <t>AccmAmort 
for Prepaid
LeasingCom</t>
  </si>
  <si>
    <t>First Posting Period
(YYYY0MM)</t>
  </si>
  <si>
    <t>Amortization
period (months)</t>
  </si>
  <si>
    <t>Amortization End
Date (YYYY/MM/DD)</t>
  </si>
  <si>
    <t>Amortization Start
Date (YYYY/MM/DD)</t>
  </si>
  <si>
    <t>Acceleration Posting
Period (YYYY0MM)</t>
  </si>
  <si>
    <t>Leasing Commission Amortization Schedule</t>
  </si>
  <si>
    <t>Full Month
Amortization</t>
  </si>
  <si>
    <t>Full
Month 
Equiv.</t>
  </si>
  <si>
    <t>Total</t>
  </si>
  <si>
    <t>Accum.
Amort if
Terminated</t>
  </si>
  <si>
    <t>Termination
Date (YYYY/MM/DD)</t>
  </si>
  <si>
    <t>Prepaid
Leasing
Commission</t>
  </si>
  <si>
    <t>Leasing
Commission
Expense</t>
  </si>
  <si>
    <t>Amort.
Expense</t>
  </si>
  <si>
    <t>Accum.
Amort.</t>
  </si>
  <si>
    <t>Accelerated
Amort.</t>
  </si>
  <si>
    <t>Leasing Commission
Paid (before C-tax)</t>
  </si>
  <si>
    <t>Normal
Amort.</t>
  </si>
  <si>
    <t>Contract No.</t>
  </si>
  <si>
    <t>T1/Tenant Name</t>
  </si>
  <si>
    <t>Monthly Amortizations</t>
  </si>
  <si>
    <t>Ledger G</t>
  </si>
  <si>
    <t>Ledger I</t>
  </si>
  <si>
    <t>Amort. 
of 
LeasingCom</t>
  </si>
  <si>
    <t>Capitalized
LeasingCom</t>
  </si>
  <si>
    <t>Amort.
Over Lease Term</t>
  </si>
  <si>
    <t>Net Gain/Loss 
at FMV</t>
  </si>
  <si>
    <t>FMV
Accum
App/Dep</t>
  </si>
  <si>
    <t>Ledger A + I + G</t>
  </si>
  <si>
    <t>84XXXXXX</t>
  </si>
  <si>
    <t>Net 
Gain/Loss 
at FMV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</si>
</sst>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_-* #,##0.000000_-;\-* #,##0.000000_-;_-* &quot;-&quot;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Meiryo"/>
      <family val="2"/>
    </font>
    <font>
      <sz val="11"/>
      <color theme="1"/>
      <name val="Meiryo"/>
      <family val="3"/>
    </font>
    <font>
      <b/>
      <sz val="11"/>
      <color theme="1"/>
      <name val="Meiryo"/>
      <family val="3"/>
    </font>
    <font>
      <sz val="11"/>
      <color theme="1"/>
      <name val="Meiryo"/>
      <family val="3"/>
    </font>
    <font>
      <b/>
      <sz val="12"/>
      <color theme="1"/>
      <name val="Meiryo"/>
      <family val="2"/>
    </font>
    <font>
      <b/>
      <sz val="12"/>
      <color theme="1"/>
      <name val="Meiryo"/>
      <family val="3"/>
    </font>
    <font>
      <b/>
      <sz val="16"/>
      <color theme="1"/>
      <name val="Meiryo"/>
      <family val="2"/>
    </font>
    <font>
      <sz val="11"/>
      <color theme="1"/>
      <name val="Meiryo"/>
      <family val="2"/>
      <charset val="128"/>
    </font>
    <font>
      <b/>
      <sz val="11"/>
      <color theme="1"/>
      <name val="Meiryo"/>
      <charset val="128"/>
    </font>
    <font>
      <b/>
      <sz val="11"/>
      <color theme="0"/>
      <name val="Meiryo"/>
      <family val="2"/>
    </font>
    <font>
      <b/>
      <sz val="16"/>
      <color theme="1"/>
      <name val="Meiryo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50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indexed="64"/>
      </left>
      <right/>
      <top style="thin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auto="1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153"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vertical="center"/>
    </xf>
    <xf numFmtId="0" fontId="2" fillId="0" borderId="4" xfId="0" applyNumberFormat="1" applyFont="1" applyFill="1" applyBorder="1" applyAlignment="1">
      <alignment vertical="center"/>
    </xf>
    <xf numFmtId="38" fontId="2" fillId="0" borderId="9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vertical="center"/>
    </xf>
    <xf numFmtId="38" fontId="2" fillId="2" borderId="7" xfId="0" applyNumberFormat="1" applyFont="1" applyFill="1" applyBorder="1" applyAlignment="1">
      <alignment horizontal="left" vertical="center"/>
    </xf>
    <xf numFmtId="38" fontId="2" fillId="2" borderId="8" xfId="0" applyNumberFormat="1" applyFont="1" applyFill="1" applyBorder="1" applyAlignment="1">
      <alignment horizontal="left" vertical="center"/>
    </xf>
    <xf numFmtId="14" fontId="2" fillId="2" borderId="2" xfId="0" applyNumberFormat="1" applyFont="1" applyFill="1" applyBorder="1" applyAlignment="1">
      <alignment horizontal="left" vertical="center"/>
    </xf>
    <xf numFmtId="14" fontId="2" fillId="2" borderId="6" xfId="0" applyNumberFormat="1" applyFont="1" applyFill="1" applyBorder="1" applyAlignment="1">
      <alignment horizontal="left" vertical="center"/>
    </xf>
    <xf numFmtId="0" fontId="2" fillId="2" borderId="2" xfId="0" applyNumberFormat="1" applyFont="1" applyFill="1" applyBorder="1" applyAlignment="1">
      <alignment horizontal="left" vertical="center"/>
    </xf>
    <xf numFmtId="0" fontId="2" fillId="2" borderId="6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center" vertical="center"/>
    </xf>
    <xf numFmtId="38" fontId="2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/>
    <xf numFmtId="164" fontId="2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/>
    <xf numFmtId="165" fontId="1" fillId="0" borderId="0" xfId="0" applyNumberFormat="1" applyFont="1" applyFill="1" applyBorder="1"/>
    <xf numFmtId="164" fontId="2" fillId="0" borderId="17" xfId="0" applyNumberFormat="1" applyFont="1" applyFill="1" applyBorder="1" applyAlignment="1">
      <alignment vertical="center"/>
    </xf>
    <xf numFmtId="40" fontId="2" fillId="0" borderId="12" xfId="0" applyNumberFormat="1" applyFont="1" applyFill="1" applyBorder="1" applyAlignment="1">
      <alignment vertical="center"/>
    </xf>
    <xf numFmtId="40" fontId="2" fillId="0" borderId="14" xfId="0" applyNumberFormat="1" applyFont="1" applyFill="1" applyBorder="1" applyAlignment="1">
      <alignment vertical="center"/>
    </xf>
    <xf numFmtId="38" fontId="2" fillId="0" borderId="15" xfId="0" applyNumberFormat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 wrapText="1"/>
    </xf>
    <xf numFmtId="0" fontId="2" fillId="0" borderId="4" xfId="0" applyNumberFormat="1" applyFont="1" applyFill="1" applyBorder="1" applyAlignment="1">
      <alignment vertical="center" wrapText="1"/>
    </xf>
    <xf numFmtId="0" fontId="2" fillId="0" borderId="10" xfId="0" applyNumberFormat="1" applyFont="1" applyFill="1" applyBorder="1" applyAlignment="1">
      <alignment vertical="center" wrapText="1"/>
    </xf>
    <xf numFmtId="0" fontId="2" fillId="0" borderId="5" xfId="0" applyNumberFormat="1" applyFont="1" applyFill="1" applyBorder="1" applyAlignment="1">
      <alignment vertical="center" wrapText="1"/>
    </xf>
    <xf numFmtId="38" fontId="2" fillId="0" borderId="27" xfId="0" applyNumberFormat="1" applyFont="1" applyFill="1" applyBorder="1" applyAlignment="1">
      <alignment vertical="center"/>
    </xf>
    <xf numFmtId="0" fontId="2" fillId="0" borderId="28" xfId="0" applyNumberFormat="1" applyFont="1" applyFill="1" applyBorder="1" applyAlignment="1">
      <alignment horizontal="right" vertical="center"/>
    </xf>
    <xf numFmtId="0" fontId="2" fillId="0" borderId="20" xfId="0" applyNumberFormat="1" applyFont="1" applyFill="1" applyBorder="1" applyAlignment="1">
      <alignment horizontal="right" vertical="center"/>
    </xf>
    <xf numFmtId="14" fontId="2" fillId="0" borderId="19" xfId="0" applyNumberFormat="1" applyFont="1" applyFill="1" applyBorder="1" applyAlignment="1">
      <alignment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right" vertical="center"/>
    </xf>
    <xf numFmtId="0" fontId="3" fillId="0" borderId="29" xfId="0" applyNumberFormat="1" applyFont="1" applyFill="1" applyBorder="1" applyAlignment="1">
      <alignment horizontal="center" vertical="center" wrapText="1"/>
    </xf>
    <xf numFmtId="0" fontId="3" fillId="0" borderId="30" xfId="0" applyNumberFormat="1" applyFont="1" applyFill="1" applyBorder="1" applyAlignment="1">
      <alignment horizontal="center" vertical="center" wrapText="1"/>
    </xf>
    <xf numFmtId="164" fontId="3" fillId="0" borderId="30" xfId="0" applyNumberFormat="1" applyFont="1" applyFill="1" applyBorder="1" applyAlignment="1">
      <alignment horizontal="center" vertical="center" wrapText="1"/>
    </xf>
    <xf numFmtId="14" fontId="2" fillId="0" borderId="10" xfId="0" applyNumberFormat="1" applyFont="1" applyFill="1" applyBorder="1" applyAlignment="1">
      <alignment vertical="center"/>
    </xf>
    <xf numFmtId="14" fontId="2" fillId="0" borderId="9" xfId="0" applyNumberFormat="1" applyFont="1" applyFill="1" applyBorder="1" applyAlignment="1">
      <alignment vertical="center"/>
    </xf>
    <xf numFmtId="0" fontId="2" fillId="0" borderId="32" xfId="0" applyNumberFormat="1" applyFont="1" applyFill="1" applyBorder="1" applyAlignment="1">
      <alignment vertical="center"/>
    </xf>
    <xf numFmtId="0" fontId="2" fillId="0" borderId="5" xfId="0" applyNumberFormat="1" applyFont="1" applyFill="1" applyBorder="1" applyAlignment="1">
      <alignment vertical="center"/>
    </xf>
    <xf numFmtId="2" fontId="2" fillId="0" borderId="34" xfId="0" applyNumberFormat="1" applyFont="1" applyFill="1" applyBorder="1" applyAlignment="1">
      <alignment vertical="center"/>
    </xf>
    <xf numFmtId="4" fontId="2" fillId="0" borderId="35" xfId="0" applyNumberFormat="1" applyFont="1" applyFill="1" applyBorder="1" applyAlignment="1">
      <alignment vertical="center"/>
    </xf>
    <xf numFmtId="40" fontId="2" fillId="3" borderId="38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top"/>
    </xf>
    <xf numFmtId="0" fontId="5" fillId="0" borderId="0" xfId="0" applyNumberFormat="1" applyFont="1" applyFill="1" applyBorder="1" applyAlignment="1">
      <alignment vertical="top"/>
    </xf>
    <xf numFmtId="0" fontId="7" fillId="0" borderId="0" xfId="0" applyNumberFormat="1" applyFont="1" applyFill="1" applyBorder="1" applyAlignment="1">
      <alignment vertical="center"/>
    </xf>
    <xf numFmtId="0" fontId="2" fillId="0" borderId="41" xfId="0" applyNumberFormat="1" applyFont="1" applyFill="1" applyBorder="1" applyAlignment="1">
      <alignment horizontal="right" vertical="center"/>
    </xf>
    <xf numFmtId="2" fontId="2" fillId="0" borderId="42" xfId="0" applyNumberFormat="1" applyFont="1" applyFill="1" applyBorder="1" applyAlignment="1">
      <alignment vertical="center"/>
    </xf>
    <xf numFmtId="40" fontId="2" fillId="3" borderId="24" xfId="0" applyNumberFormat="1" applyFont="1" applyFill="1" applyBorder="1" applyAlignment="1">
      <alignment horizontal="center" vertical="center"/>
    </xf>
    <xf numFmtId="38" fontId="2" fillId="2" borderId="37" xfId="0" applyNumberFormat="1" applyFont="1" applyFill="1" applyBorder="1" applyAlignment="1">
      <alignment horizontal="left" vertical="center" indent="1"/>
    </xf>
    <xf numFmtId="0" fontId="2" fillId="2" borderId="1" xfId="0" applyNumberFormat="1" applyFont="1" applyFill="1" applyBorder="1" applyAlignment="1">
      <alignment horizontal="left" vertical="center" indent="1"/>
    </xf>
    <xf numFmtId="14" fontId="4" fillId="2" borderId="1" xfId="0" applyNumberFormat="1" applyFont="1" applyFill="1" applyBorder="1" applyAlignment="1">
      <alignment horizontal="left" vertical="center" indent="1"/>
    </xf>
    <xf numFmtId="1" fontId="4" fillId="2" borderId="1" xfId="0" applyNumberFormat="1" applyFont="1" applyFill="1" applyBorder="1" applyAlignment="1">
      <alignment horizontal="left" vertical="center" indent="1"/>
    </xf>
    <xf numFmtId="14" fontId="4" fillId="4" borderId="1" xfId="0" applyNumberFormat="1" applyFont="1" applyFill="1" applyBorder="1" applyAlignment="1">
      <alignment horizontal="left" vertical="center" indent="1"/>
    </xf>
    <xf numFmtId="0" fontId="2" fillId="4" borderId="22" xfId="0" applyNumberFormat="1" applyFont="1" applyFill="1" applyBorder="1" applyAlignment="1">
      <alignment horizontal="center" vertical="center"/>
    </xf>
    <xf numFmtId="0" fontId="3" fillId="5" borderId="31" xfId="0" applyNumberFormat="1" applyFont="1" applyFill="1" applyBorder="1" applyAlignment="1">
      <alignment horizontal="center" vertical="center" wrapText="1"/>
    </xf>
    <xf numFmtId="0" fontId="3" fillId="5" borderId="36" xfId="0" applyNumberFormat="1" applyFont="1" applyFill="1" applyBorder="1" applyAlignment="1">
      <alignment horizontal="center" vertical="center" wrapText="1"/>
    </xf>
    <xf numFmtId="40" fontId="2" fillId="0" borderId="25" xfId="0" applyNumberFormat="1" applyFont="1" applyFill="1" applyBorder="1" applyAlignment="1">
      <alignment vertical="center"/>
    </xf>
    <xf numFmtId="40" fontId="2" fillId="0" borderId="26" xfId="0" applyNumberFormat="1" applyFont="1" applyFill="1" applyBorder="1" applyAlignment="1">
      <alignment vertical="center"/>
    </xf>
    <xf numFmtId="4" fontId="2" fillId="0" borderId="39" xfId="0" applyNumberFormat="1" applyFont="1" applyFill="1" applyBorder="1" applyAlignment="1">
      <alignment vertical="center"/>
    </xf>
    <xf numFmtId="3" fontId="1" fillId="5" borderId="47" xfId="0" applyNumberFormat="1" applyFont="1" applyFill="1" applyBorder="1"/>
    <xf numFmtId="38" fontId="2" fillId="0" borderId="48" xfId="0" applyNumberFormat="1" applyFont="1" applyFill="1" applyBorder="1" applyAlignment="1">
      <alignment vertical="center"/>
    </xf>
    <xf numFmtId="38" fontId="2" fillId="0" borderId="45" xfId="0" applyNumberFormat="1" applyFont="1" applyFill="1" applyBorder="1" applyAlignment="1">
      <alignment vertical="center"/>
    </xf>
    <xf numFmtId="38" fontId="2" fillId="5" borderId="49" xfId="0" applyNumberFormat="1" applyFont="1" applyFill="1" applyBorder="1" applyAlignment="1">
      <alignment vertical="center"/>
    </xf>
    <xf numFmtId="38" fontId="2" fillId="5" borderId="50" xfId="0" applyNumberFormat="1" applyFont="1" applyFill="1" applyBorder="1" applyAlignment="1">
      <alignment vertical="center"/>
    </xf>
    <xf numFmtId="38" fontId="2" fillId="0" borderId="51" xfId="0" applyNumberFormat="1" applyFont="1" applyFill="1" applyBorder="1" applyAlignment="1">
      <alignment vertical="center"/>
    </xf>
    <xf numFmtId="38" fontId="2" fillId="0" borderId="46" xfId="0" applyNumberFormat="1" applyFont="1" applyFill="1" applyBorder="1" applyAlignment="1">
      <alignment vertical="center"/>
    </xf>
    <xf numFmtId="14" fontId="2" fillId="0" borderId="33" xfId="0" applyNumberFormat="1" applyFont="1" applyFill="1" applyBorder="1" applyAlignment="1">
      <alignment horizontal="right" vertical="center"/>
    </xf>
    <xf numFmtId="0" fontId="2" fillId="2" borderId="1" xfId="0" applyNumberFormat="1" applyFont="1" applyFill="1" applyBorder="1" applyAlignment="1">
      <alignment horizontal="left" vertical="center" indent="1"/>
    </xf>
    <xf numFmtId="0" fontId="2" fillId="2" borderId="2" xfId="0" applyNumberFormat="1" applyFont="1" applyFill="1" applyBorder="1" applyAlignment="1">
      <alignment vertical="center"/>
    </xf>
    <xf numFmtId="0" fontId="2" fillId="2" borderId="6" xfId="0" applyNumberFormat="1" applyFont="1" applyFill="1" applyBorder="1" applyAlignment="1">
      <alignment vertical="center"/>
    </xf>
    <xf numFmtId="38" fontId="2" fillId="0" borderId="49" xfId="0" applyNumberFormat="1" applyFont="1" applyFill="1" applyBorder="1" applyAlignment="1">
      <alignment vertical="center"/>
    </xf>
    <xf numFmtId="38" fontId="2" fillId="0" borderId="50" xfId="0" applyNumberFormat="1" applyFont="1" applyFill="1" applyBorder="1" applyAlignment="1">
      <alignment vertical="center"/>
    </xf>
    <xf numFmtId="38" fontId="2" fillId="0" borderId="5" xfId="0" applyNumberFormat="1" applyFont="1" applyFill="1" applyBorder="1" applyAlignment="1">
      <alignment vertical="center"/>
    </xf>
    <xf numFmtId="38" fontId="2" fillId="0" borderId="39" xfId="0" applyNumberFormat="1" applyFont="1" applyFill="1" applyBorder="1" applyAlignment="1">
      <alignment vertical="center"/>
    </xf>
    <xf numFmtId="0" fontId="2" fillId="0" borderId="55" xfId="0" applyNumberFormat="1" applyFont="1" applyFill="1" applyBorder="1" applyAlignment="1">
      <alignment horizontal="right" vertical="center"/>
    </xf>
    <xf numFmtId="0" fontId="2" fillId="0" borderId="32" xfId="0" applyNumberFormat="1" applyFont="1" applyFill="1" applyBorder="1" applyAlignment="1">
      <alignment horizontal="right" vertical="center"/>
    </xf>
    <xf numFmtId="14" fontId="2" fillId="0" borderId="56" xfId="0" applyNumberFormat="1" applyFont="1" applyFill="1" applyBorder="1" applyAlignment="1">
      <alignment vertical="center"/>
    </xf>
    <xf numFmtId="14" fontId="2" fillId="0" borderId="57" xfId="0" applyNumberFormat="1" applyFont="1" applyFill="1" applyBorder="1" applyAlignment="1">
      <alignment horizontal="right" vertical="center"/>
    </xf>
    <xf numFmtId="38" fontId="2" fillId="0" borderId="26" xfId="0" applyNumberFormat="1" applyFont="1" applyFill="1" applyBorder="1" applyAlignment="1">
      <alignment vertical="center"/>
    </xf>
    <xf numFmtId="38" fontId="2" fillId="0" borderId="61" xfId="0" applyNumberFormat="1" applyFont="1" applyFill="1" applyBorder="1" applyAlignment="1">
      <alignment vertical="center"/>
    </xf>
    <xf numFmtId="38" fontId="2" fillId="0" borderId="62" xfId="0" applyNumberFormat="1" applyFont="1" applyFill="1" applyBorder="1" applyAlignment="1">
      <alignment vertical="center"/>
    </xf>
    <xf numFmtId="0" fontId="9" fillId="0" borderId="27" xfId="0" applyNumberFormat="1" applyFont="1" applyFill="1" applyBorder="1" applyAlignment="1">
      <alignment horizontal="center" vertical="center" wrapText="1"/>
    </xf>
    <xf numFmtId="0" fontId="9" fillId="0" borderId="60" xfId="0" applyNumberFormat="1" applyFont="1" applyFill="1" applyBorder="1" applyAlignment="1">
      <alignment horizontal="center" vertical="center" wrapText="1"/>
    </xf>
    <xf numFmtId="0" fontId="9" fillId="0" borderId="59" xfId="0" applyNumberFormat="1" applyFont="1" applyFill="1" applyBorder="1" applyAlignment="1">
      <alignment horizontal="center" vertical="center" wrapText="1"/>
    </xf>
    <xf numFmtId="38" fontId="2" fillId="0" borderId="23" xfId="0" applyNumberFormat="1" applyFont="1" applyFill="1" applyBorder="1" applyAlignment="1">
      <alignment vertical="center"/>
    </xf>
    <xf numFmtId="0" fontId="9" fillId="0" borderId="63" xfId="0" applyNumberFormat="1" applyFont="1" applyFill="1" applyBorder="1" applyAlignment="1">
      <alignment vertical="center"/>
    </xf>
    <xf numFmtId="0" fontId="3" fillId="0" borderId="32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20" xfId="0" applyNumberFormat="1" applyFont="1" applyFill="1" applyBorder="1" applyAlignment="1">
      <alignment horizontal="center" vertical="center" wrapText="1"/>
    </xf>
    <xf numFmtId="0" fontId="3" fillId="0" borderId="50" xfId="0" applyNumberFormat="1" applyFont="1" applyFill="1" applyBorder="1" applyAlignment="1">
      <alignment horizontal="center" vertical="center" wrapText="1"/>
    </xf>
    <xf numFmtId="0" fontId="9" fillId="0" borderId="18" xfId="0" applyNumberFormat="1" applyFont="1" applyFill="1" applyBorder="1" applyAlignment="1">
      <alignment horizontal="center" vertical="center" wrapText="1"/>
    </xf>
    <xf numFmtId="0" fontId="9" fillId="0" borderId="65" xfId="0" applyNumberFormat="1" applyFont="1" applyFill="1" applyBorder="1" applyAlignment="1">
      <alignment horizontal="center" vertical="center" wrapText="1"/>
    </xf>
    <xf numFmtId="0" fontId="9" fillId="0" borderId="22" xfId="0" applyNumberFormat="1" applyFont="1" applyFill="1" applyBorder="1" applyAlignment="1">
      <alignment horizontal="center" vertical="center" wrapText="1"/>
    </xf>
    <xf numFmtId="0" fontId="3" fillId="0" borderId="64" xfId="0" applyNumberFormat="1" applyFont="1" applyFill="1" applyBorder="1" applyAlignment="1">
      <alignment horizontal="center" vertical="center" wrapText="1"/>
    </xf>
    <xf numFmtId="38" fontId="2" fillId="0" borderId="0" xfId="0" applyNumberFormat="1" applyFont="1" applyFill="1" applyBorder="1" applyAlignment="1">
      <alignment vertical="center"/>
    </xf>
    <xf numFmtId="0" fontId="3" fillId="0" borderId="37" xfId="0" applyNumberFormat="1" applyFont="1" applyFill="1" applyBorder="1" applyAlignment="1">
      <alignment horizontal="center" vertical="center" wrapText="1"/>
    </xf>
    <xf numFmtId="0" fontId="9" fillId="0" borderId="64" xfId="0" applyNumberFormat="1" applyFont="1" applyFill="1" applyBorder="1" applyAlignment="1">
      <alignment horizontal="center" vertical="center" wrapText="1"/>
    </xf>
    <xf numFmtId="0" fontId="9" fillId="0" borderId="2" xfId="0" applyNumberFormat="1" applyFont="1" applyFill="1" applyBorder="1" applyAlignment="1">
      <alignment horizontal="center" vertical="center" wrapText="1"/>
    </xf>
    <xf numFmtId="38" fontId="2" fillId="0" borderId="54" xfId="0" applyNumberFormat="1" applyFont="1" applyFill="1" applyBorder="1" applyAlignment="1">
      <alignment vertical="center"/>
    </xf>
    <xf numFmtId="0" fontId="3" fillId="0" borderId="3" xfId="0" applyNumberFormat="1" applyFont="1" applyFill="1" applyBorder="1" applyAlignment="1">
      <alignment horizontal="center" vertical="center" wrapText="1"/>
    </xf>
    <xf numFmtId="0" fontId="3" fillId="0" borderId="66" xfId="0" applyNumberFormat="1" applyFont="1" applyFill="1" applyBorder="1" applyAlignment="1">
      <alignment horizontal="center" vertical="center" wrapText="1"/>
    </xf>
    <xf numFmtId="0" fontId="3" fillId="0" borderId="4" xfId="0" applyNumberFormat="1" applyFont="1" applyFill="1" applyBorder="1" applyAlignment="1">
      <alignment horizontal="center" vertical="center" wrapText="1"/>
    </xf>
    <xf numFmtId="0" fontId="3" fillId="0" borderId="21" xfId="0" applyNumberFormat="1" applyFont="1" applyFill="1" applyBorder="1" applyAlignment="1">
      <alignment horizontal="center" vertical="center" wrapText="1"/>
    </xf>
    <xf numFmtId="38" fontId="2" fillId="0" borderId="11" xfId="0" applyNumberFormat="1" applyFont="1" applyFill="1" applyBorder="1" applyAlignment="1">
      <alignment vertical="center"/>
    </xf>
    <xf numFmtId="38" fontId="2" fillId="0" borderId="12" xfId="0" applyNumberFormat="1" applyFont="1" applyFill="1" applyBorder="1" applyAlignment="1">
      <alignment vertical="center"/>
    </xf>
    <xf numFmtId="38" fontId="2" fillId="0" borderId="13" xfId="0" applyNumberFormat="1" applyFont="1" applyFill="1" applyBorder="1" applyAlignment="1">
      <alignment vertical="center"/>
    </xf>
    <xf numFmtId="38" fontId="2" fillId="0" borderId="14" xfId="0" applyNumberFormat="1" applyFont="1" applyFill="1" applyBorder="1" applyAlignment="1">
      <alignment vertical="center"/>
    </xf>
    <xf numFmtId="38" fontId="2" fillId="0" borderId="16" xfId="0" applyNumberFormat="1" applyFont="1" applyFill="1" applyBorder="1" applyAlignment="1">
      <alignment horizontal="right" vertical="center"/>
    </xf>
    <xf numFmtId="38" fontId="2" fillId="0" borderId="17" xfId="0" applyNumberFormat="1" applyFont="1" applyFill="1" applyBorder="1" applyAlignment="1">
      <alignment vertical="center"/>
    </xf>
    <xf numFmtId="38" fontId="2" fillId="0" borderId="34" xfId="0" applyNumberFormat="1" applyFont="1" applyFill="1" applyBorder="1" applyAlignment="1">
      <alignment vertical="center"/>
    </xf>
    <xf numFmtId="38" fontId="2" fillId="0" borderId="35" xfId="0" applyNumberFormat="1" applyFont="1" applyFill="1" applyBorder="1" applyAlignment="1">
      <alignment vertical="center"/>
    </xf>
    <xf numFmtId="38" fontId="0" fillId="0" borderId="0" xfId="0" applyNumberFormat="1" applyFont="1" applyFill="1" applyBorder="1"/>
    <xf numFmtId="38" fontId="2" fillId="0" borderId="25" xfId="0" applyNumberFormat="1" applyFont="1" applyFill="1" applyBorder="1" applyAlignment="1">
      <alignment vertical="center"/>
    </xf>
    <xf numFmtId="38" fontId="2" fillId="0" borderId="67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horizontal="center" vertical="center" wrapText="1"/>
    </xf>
    <xf numFmtId="38" fontId="3" fillId="0" borderId="64" xfId="0" applyNumberFormat="1" applyFont="1" applyFill="1" applyBorder="1" applyAlignment="1">
      <alignment horizontal="center" vertical="center" wrapText="1"/>
    </xf>
    <xf numFmtId="0" fontId="9" fillId="0" borderId="43" xfId="0" applyNumberFormat="1" applyFont="1" applyFill="1" applyBorder="1" applyAlignment="1">
      <alignment horizontal="center" vertical="center" wrapText="1"/>
    </xf>
    <xf numFmtId="38" fontId="3" fillId="0" borderId="66" xfId="0" applyNumberFormat="1" applyFont="1" applyFill="1" applyBorder="1" applyAlignment="1">
      <alignment horizontal="center" vertical="center" wrapText="1"/>
    </xf>
    <xf numFmtId="0" fontId="9" fillId="0" borderId="68" xfId="0" applyNumberFormat="1" applyFont="1" applyFill="1" applyBorder="1" applyAlignment="1">
      <alignment horizontal="center" vertical="center" wrapText="1"/>
    </xf>
    <xf numFmtId="0" fontId="9" fillId="0" borderId="69" xfId="0" applyNumberFormat="1" applyFont="1" applyFill="1" applyBorder="1" applyAlignment="1">
      <alignment horizontal="center" vertical="center" wrapText="1"/>
    </xf>
    <xf numFmtId="38" fontId="3" fillId="0" borderId="37" xfId="0" applyNumberFormat="1" applyFont="1" applyFill="1" applyBorder="1" applyAlignment="1">
      <alignment horizontal="center" vertical="center" wrapText="1"/>
    </xf>
    <xf numFmtId="38" fontId="3" fillId="0" borderId="21" xfId="0" applyNumberFormat="1" applyFont="1" applyFill="1" applyBorder="1" applyAlignment="1">
      <alignment horizontal="center" vertical="center" wrapText="1"/>
    </xf>
    <xf numFmtId="38" fontId="2" fillId="0" borderId="64" xfId="0" applyNumberFormat="1" applyFont="1" applyFill="1" applyBorder="1" applyAlignment="1">
      <alignment horizontal="right" vertical="center"/>
    </xf>
    <xf numFmtId="38" fontId="2" fillId="0" borderId="55" xfId="0" applyNumberFormat="1" applyFont="1" applyFill="1" applyBorder="1" applyAlignment="1">
      <alignment vertical="center"/>
    </xf>
    <xf numFmtId="38" fontId="2" fillId="0" borderId="32" xfId="0" applyNumberFormat="1" applyFont="1" applyFill="1" applyBorder="1" applyAlignment="1">
      <alignment vertical="center"/>
    </xf>
    <xf numFmtId="38" fontId="2" fillId="0" borderId="56" xfId="0" applyNumberFormat="1" applyFont="1" applyFill="1" applyBorder="1" applyAlignment="1">
      <alignment horizontal="right" vertical="center"/>
    </xf>
    <xf numFmtId="38" fontId="2" fillId="0" borderId="57" xfId="0" applyNumberFormat="1" applyFont="1" applyFill="1" applyBorder="1" applyAlignment="1">
      <alignment vertical="center"/>
    </xf>
    <xf numFmtId="0" fontId="11" fillId="0" borderId="0" xfId="0" applyNumberFormat="1" applyFont="1" applyFill="1" applyBorder="1" applyAlignment="1">
      <alignment vertical="center"/>
    </xf>
    <xf numFmtId="38" fontId="2" fillId="0" borderId="70" xfId="0" applyNumberFormat="1" applyFont="1" applyFill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center" indent="1"/>
    </xf>
    <xf numFmtId="38" fontId="2" fillId="0" borderId="28" xfId="0" applyNumberFormat="1" applyFont="1" applyFill="1" applyBorder="1" applyAlignment="1">
      <alignment vertical="center"/>
    </xf>
    <xf numFmtId="38" fontId="2" fillId="0" borderId="20" xfId="0" applyNumberFormat="1" applyFont="1" applyFill="1" applyBorder="1" applyAlignment="1">
      <alignment vertical="center"/>
    </xf>
    <xf numFmtId="38" fontId="2" fillId="0" borderId="19" xfId="0" applyNumberFormat="1" applyFont="1" applyFill="1" applyBorder="1" applyAlignment="1">
      <alignment horizontal="right" vertical="center"/>
    </xf>
    <xf numFmtId="38" fontId="2" fillId="0" borderId="38" xfId="0" applyNumberFormat="1" applyFont="1" applyFill="1" applyBorder="1" applyAlignment="1">
      <alignment vertical="center"/>
    </xf>
    <xf numFmtId="38" fontId="1" fillId="0" borderId="71" xfId="0" applyNumberFormat="1" applyFont="1" applyFill="1" applyBorder="1"/>
    <xf numFmtId="38" fontId="0" fillId="0" borderId="71" xfId="0" applyNumberFormat="1" applyFont="1" applyFill="1" applyBorder="1"/>
    <xf numFmtId="0" fontId="9" fillId="2" borderId="52" xfId="0" applyNumberFormat="1" applyFont="1" applyFill="1" applyBorder="1" applyAlignment="1">
      <alignment horizontal="center" vertical="center"/>
    </xf>
    <xf numFmtId="0" fontId="9" fillId="2" borderId="58" xfId="0" applyNumberFormat="1" applyFont="1" applyFill="1" applyBorder="1" applyAlignment="1">
      <alignment horizontal="center" vertical="center"/>
    </xf>
    <xf numFmtId="0" fontId="9" fillId="2" borderId="53" xfId="0" applyNumberFormat="1" applyFont="1" applyFill="1" applyBorder="1" applyAlignment="1">
      <alignment horizontal="center" vertical="center"/>
    </xf>
    <xf numFmtId="0" fontId="10" fillId="6" borderId="52" xfId="0" applyNumberFormat="1" applyFont="1" applyFill="1" applyBorder="1" applyAlignment="1">
      <alignment horizontal="center" vertical="center"/>
    </xf>
    <xf numFmtId="0" fontId="10" fillId="6" borderId="58" xfId="0" applyNumberFormat="1" applyFont="1" applyFill="1" applyBorder="1" applyAlignment="1">
      <alignment horizontal="center" vertical="center"/>
    </xf>
    <xf numFmtId="0" fontId="10" fillId="6" borderId="53" xfId="0" applyNumberFormat="1" applyFont="1" applyFill="1" applyBorder="1" applyAlignment="1">
      <alignment horizontal="center" vertical="center"/>
    </xf>
    <xf numFmtId="0" fontId="10" fillId="7" borderId="52" xfId="0" applyNumberFormat="1" applyFont="1" applyFill="1" applyBorder="1" applyAlignment="1">
      <alignment horizontal="center" vertical="center"/>
    </xf>
    <xf numFmtId="0" fontId="10" fillId="7" borderId="58" xfId="0" applyNumberFormat="1" applyFont="1" applyFill="1" applyBorder="1" applyAlignment="1">
      <alignment horizontal="center" vertical="center"/>
    </xf>
    <xf numFmtId="0" fontId="10" fillId="7" borderId="53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left" vertical="center"/>
    </xf>
    <xf numFmtId="0" fontId="2" fillId="2" borderId="6" xfId="0" applyNumberFormat="1" applyFont="1" applyFill="1" applyBorder="1" applyAlignment="1">
      <alignment horizontal="left" vertical="center"/>
    </xf>
    <xf numFmtId="0" fontId="3" fillId="5" borderId="52" xfId="0" applyNumberFormat="1" applyFont="1" applyFill="1" applyBorder="1" applyAlignment="1">
      <alignment horizontal="center" vertical="center"/>
    </xf>
    <xf numFmtId="0" fontId="3" fillId="5" borderId="53" xfId="0" applyNumberFormat="1" applyFont="1" applyFill="1" applyBorder="1" applyAlignment="1">
      <alignment horizontal="center" vertical="center"/>
    </xf>
    <xf numFmtId="0" fontId="2" fillId="0" borderId="40" xfId="0" applyNumberFormat="1" applyFont="1" applyFill="1" applyBorder="1" applyAlignment="1">
      <alignment horizontal="left" vertical="center" wrapText="1" indent="1"/>
    </xf>
    <xf numFmtId="0" fontId="2" fillId="0" borderId="43" xfId="0" applyNumberFormat="1" applyFont="1" applyFill="1" applyBorder="1" applyAlignment="1">
      <alignment horizontal="left" vertical="center" wrapText="1" indent="1"/>
    </xf>
    <xf numFmtId="40" fontId="2" fillId="3" borderId="44" xfId="0" applyNumberFormat="1" applyFont="1" applyFill="1" applyBorder="1" applyAlignment="1">
      <alignment horizontal="left" vertical="center" wrapText="1" indent="1"/>
    </xf>
    <xf numFmtId="40" fontId="2" fillId="3" borderId="42" xfId="0" applyNumberFormat="1" applyFont="1" applyFill="1" applyBorder="1" applyAlignment="1">
      <alignment horizontal="left" vertical="center" wrapText="1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CCFFFF"/>
      <color rgb="FFFFFFCC"/>
      <color rgb="FF0000FF"/>
      <color rgb="FFCCE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366"/>
  <sheetViews>
    <sheetView showGridLines="0" tabSelected="1" topLeftCell="A341" zoomScale="70" zoomScaleNormal="70" workbookViewId="0">
      <selection activeCell="G365" sqref="G365"/>
    </sheetView>
  </sheetViews>
  <sheetFormatPr defaultColWidth="17.6640625" defaultRowHeight="18" outlineLevelRow="1" x14ac:dyDescent="0.3"/>
  <cols>
    <col min="1" max="1" width="1.109375" customWidth="1"/>
    <col min="2" max="3" width="17.6640625" customWidth="1"/>
    <col min="4" max="5" width="17.6640625" style="111" customWidth="1"/>
    <col min="6" max="6" width="17.6640625" style="13" customWidth="1"/>
    <col min="7" max="11" width="17.6640625" customWidth="1"/>
    <col min="12" max="19" width="17.6640625" style="4" customWidth="1"/>
  </cols>
  <sheetData>
    <row r="1" spans="1:22" thickBot="1" x14ac:dyDescent="0.35">
      <c r="B1" s="85"/>
      <c r="C1" s="136" t="s">
        <v>25</v>
      </c>
      <c r="D1" s="137"/>
      <c r="E1" s="137"/>
      <c r="F1" s="137"/>
      <c r="G1" s="138"/>
      <c r="H1" s="139" t="s">
        <v>24</v>
      </c>
      <c r="I1" s="140"/>
      <c r="J1" s="140"/>
      <c r="K1" s="140"/>
      <c r="L1" s="140"/>
      <c r="M1" s="141"/>
      <c r="N1" s="142" t="s">
        <v>31</v>
      </c>
      <c r="O1" s="143"/>
      <c r="P1" s="143"/>
      <c r="Q1" s="143"/>
      <c r="R1" s="143"/>
      <c r="S1" s="144"/>
    </row>
    <row r="2" spans="1:22" ht="52.2" x14ac:dyDescent="0.3">
      <c r="B2" s="32" t="s">
        <v>0</v>
      </c>
      <c r="C2" s="33" t="s">
        <v>15</v>
      </c>
      <c r="D2" s="120" t="s">
        <v>14</v>
      </c>
      <c r="E2" s="117" t="s">
        <v>28</v>
      </c>
      <c r="F2" s="33" t="s">
        <v>26</v>
      </c>
      <c r="G2" s="95" t="s">
        <v>2</v>
      </c>
      <c r="H2" s="99" t="s">
        <v>27</v>
      </c>
      <c r="I2" s="117" t="s">
        <v>14</v>
      </c>
      <c r="J2" s="115" t="s">
        <v>26</v>
      </c>
      <c r="K2" s="117" t="s">
        <v>2</v>
      </c>
      <c r="L2" s="96" t="s">
        <v>29</v>
      </c>
      <c r="M2" s="81" t="s">
        <v>30</v>
      </c>
      <c r="N2" s="82" t="s">
        <v>14</v>
      </c>
      <c r="O2" s="96" t="s">
        <v>26</v>
      </c>
      <c r="P2" s="118" t="s">
        <v>2</v>
      </c>
      <c r="Q2" s="96" t="s">
        <v>27</v>
      </c>
      <c r="R2" s="81" t="s">
        <v>29</v>
      </c>
      <c r="S2" s="83" t="s">
        <v>30</v>
      </c>
    </row>
    <row r="3" spans="1:22" ht="17.399999999999999" x14ac:dyDescent="0.3">
      <c r="B3" s="86"/>
      <c r="C3" s="87"/>
      <c r="D3" s="88">
        <v>18060000</v>
      </c>
      <c r="E3" s="121"/>
      <c r="F3" s="89">
        <v>88060000</v>
      </c>
      <c r="G3" s="87">
        <v>18061000</v>
      </c>
      <c r="H3" s="101">
        <v>18060001</v>
      </c>
      <c r="I3" s="102">
        <v>18060000</v>
      </c>
      <c r="J3" s="114">
        <v>88060000</v>
      </c>
      <c r="K3" s="102">
        <v>18061000</v>
      </c>
      <c r="L3" s="116">
        <v>91000001</v>
      </c>
      <c r="M3" s="90">
        <v>15070002</v>
      </c>
      <c r="N3" s="91">
        <v>18060000</v>
      </c>
      <c r="O3" s="97">
        <v>88060000</v>
      </c>
      <c r="P3" s="119">
        <v>18061000</v>
      </c>
      <c r="Q3" s="97">
        <v>18060001</v>
      </c>
      <c r="R3" s="90">
        <v>91000001</v>
      </c>
      <c r="S3" s="92">
        <v>15070002</v>
      </c>
    </row>
    <row r="4" spans="1:22" x14ac:dyDescent="0.3">
      <c r="B4" s="74"/>
      <c r="C4" s="112"/>
      <c r="D4" s="103"/>
      <c r="E4" s="104"/>
      <c r="F4" s="70"/>
      <c r="G4" s="112">
        <f>-SUM(C4:D4,F4)</f>
        <v>0</v>
      </c>
      <c r="H4" s="3">
        <f>IF(D4&gt;0,D4,0)</f>
        <v>0</v>
      </c>
      <c r="I4" s="20">
        <f>IF(D4="",0,-D4)</f>
        <v>0</v>
      </c>
      <c r="J4" s="94">
        <f>IF(F4="",0,-F4)</f>
        <v>0</v>
      </c>
      <c r="K4" s="20">
        <f>IF(AND(I4&gt;0,I4&lt;&gt;""),-I4-J4,IF(J4="",0,-J4))</f>
        <v>0</v>
      </c>
      <c r="L4" s="94">
        <f>+C4</f>
        <v>0</v>
      </c>
      <c r="M4" s="78">
        <f>-L4</f>
        <v>0</v>
      </c>
      <c r="N4" s="79">
        <f>IFERROR(+D4+I4,0)</f>
        <v>0</v>
      </c>
      <c r="O4" s="94">
        <f>IFERROR(+F4+J4,0)</f>
        <v>0</v>
      </c>
      <c r="P4" s="106">
        <f>IFERROR(+K4+G4,0)</f>
        <v>0</v>
      </c>
      <c r="Q4" s="94">
        <f>+H4</f>
        <v>0</v>
      </c>
      <c r="R4" s="78">
        <f>+L4</f>
        <v>0</v>
      </c>
      <c r="S4" s="84">
        <f>+M4</f>
        <v>0</v>
      </c>
    </row>
    <row r="5" spans="1:22" x14ac:dyDescent="0.3">
      <c r="B5" s="75"/>
      <c r="C5" s="78"/>
      <c r="D5" s="105"/>
      <c r="E5" s="106"/>
      <c r="F5" s="71"/>
      <c r="G5" s="78">
        <f>-SUM(-G4,C5:D5,F5)</f>
        <v>0</v>
      </c>
      <c r="H5" s="3">
        <f>IF(D5&gt;0,D5,0)</f>
        <v>0</v>
      </c>
      <c r="I5" s="20">
        <f>IF(D5="",0,-D5)</f>
        <v>0</v>
      </c>
      <c r="J5" s="94">
        <f>IF(F5="",0,-F5)</f>
        <v>0</v>
      </c>
      <c r="K5" s="20">
        <f>IF(AND(I5&gt;0,I5&lt;&gt;""),-I5-J5,IF(J5="",0,-J5))</f>
        <v>0</v>
      </c>
      <c r="L5" s="94">
        <f>+C5</f>
        <v>0</v>
      </c>
      <c r="M5" s="78">
        <f>-L5</f>
        <v>0</v>
      </c>
      <c r="N5" s="79">
        <f>IFERROR(+D5+I5,0)</f>
        <v>0</v>
      </c>
      <c r="O5" s="94">
        <f>IFERROR(+F5+J5,0)</f>
        <v>0</v>
      </c>
      <c r="P5" s="106">
        <f>IFERROR(+K5+G5,0)</f>
        <v>0</v>
      </c>
      <c r="Q5" s="94">
        <f t="shared" ref="Q5:Q68" si="0">+H5</f>
        <v>0</v>
      </c>
      <c r="R5" s="78">
        <f t="shared" ref="R5:R68" si="1">+L5</f>
        <v>0</v>
      </c>
      <c r="S5" s="84">
        <f t="shared" ref="S5:S68" si="2">+M5</f>
        <v>0</v>
      </c>
    </row>
    <row r="6" spans="1:22" x14ac:dyDescent="0.3">
      <c r="B6" s="75"/>
      <c r="C6" s="78"/>
      <c r="D6" s="105"/>
      <c r="E6" s="106"/>
      <c r="F6" s="71"/>
      <c r="G6" s="78">
        <f>-SUM(-G5,C6:D6,F6)</f>
        <v>0</v>
      </c>
      <c r="H6" s="3">
        <f t="shared" ref="H6:H69" si="3">IF(D6&gt;0,D6,0)</f>
        <v>0</v>
      </c>
      <c r="I6" s="20">
        <f t="shared" ref="I6:I69" si="4">IF(D6="",0,-D6)</f>
        <v>0</v>
      </c>
      <c r="J6" s="94">
        <f t="shared" ref="J6:J69" si="5">IF(F6="",0,-F6)</f>
        <v>0</v>
      </c>
      <c r="K6" s="20">
        <f t="shared" ref="K6:K69" si="6">IF(AND(I6&gt;0,I6&lt;&gt;""),-I6-J6,IF(J6="",0,-J6))</f>
        <v>0</v>
      </c>
      <c r="L6" s="94">
        <f t="shared" ref="L6:L69" si="7">+C6</f>
        <v>0</v>
      </c>
      <c r="M6" s="78">
        <f t="shared" ref="M6:M69" si="8">-L6</f>
        <v>0</v>
      </c>
      <c r="N6" s="79">
        <f t="shared" ref="N6:N69" si="9">IFERROR(+D6+I6,0)</f>
        <v>0</v>
      </c>
      <c r="O6" s="94">
        <f t="shared" ref="O6:O69" si="10">IFERROR(+F6+J6,0)</f>
        <v>0</v>
      </c>
      <c r="P6" s="106">
        <f t="shared" ref="P6:P69" si="11">IFERROR(+K6+G6,0)</f>
        <v>0</v>
      </c>
      <c r="Q6" s="94">
        <f t="shared" si="0"/>
        <v>0</v>
      </c>
      <c r="R6" s="78">
        <f t="shared" si="1"/>
        <v>0</v>
      </c>
      <c r="S6" s="84">
        <f t="shared" si="2"/>
        <v>0</v>
      </c>
    </row>
    <row r="7" spans="1:22" x14ac:dyDescent="0.3">
      <c r="B7" s="75"/>
      <c r="C7" s="78"/>
      <c r="D7" s="105"/>
      <c r="E7" s="106"/>
      <c r="F7" s="71"/>
      <c r="G7" s="78">
        <f t="shared" ref="G7:G70" si="12">-SUM(-G6,C7:D7,F7)</f>
        <v>0</v>
      </c>
      <c r="H7" s="3">
        <f t="shared" si="3"/>
        <v>0</v>
      </c>
      <c r="I7" s="20">
        <f t="shared" si="4"/>
        <v>0</v>
      </c>
      <c r="J7" s="94">
        <f t="shared" si="5"/>
        <v>0</v>
      </c>
      <c r="K7" s="20">
        <f t="shared" si="6"/>
        <v>0</v>
      </c>
      <c r="L7" s="94">
        <f t="shared" si="7"/>
        <v>0</v>
      </c>
      <c r="M7" s="78">
        <f t="shared" si="8"/>
        <v>0</v>
      </c>
      <c r="N7" s="79">
        <f t="shared" si="9"/>
        <v>0</v>
      </c>
      <c r="O7" s="94">
        <f t="shared" si="10"/>
        <v>0</v>
      </c>
      <c r="P7" s="106">
        <f t="shared" si="11"/>
        <v>0</v>
      </c>
      <c r="Q7" s="94">
        <f t="shared" si="0"/>
        <v>0</v>
      </c>
      <c r="R7" s="78">
        <f t="shared" si="1"/>
        <v>0</v>
      </c>
      <c r="S7" s="84">
        <f t="shared" si="2"/>
        <v>0</v>
      </c>
    </row>
    <row r="8" spans="1:22" s="16" customFormat="1" x14ac:dyDescent="0.45">
      <c r="A8"/>
      <c r="B8" s="75"/>
      <c r="C8" s="78"/>
      <c r="D8" s="105"/>
      <c r="E8" s="106"/>
      <c r="F8" s="71"/>
      <c r="G8" s="78">
        <f t="shared" si="12"/>
        <v>0</v>
      </c>
      <c r="H8" s="3">
        <f t="shared" si="3"/>
        <v>0</v>
      </c>
      <c r="I8" s="20">
        <f t="shared" si="4"/>
        <v>0</v>
      </c>
      <c r="J8" s="94">
        <f t="shared" si="5"/>
        <v>0</v>
      </c>
      <c r="K8" s="20">
        <f t="shared" si="6"/>
        <v>0</v>
      </c>
      <c r="L8" s="94">
        <f t="shared" si="7"/>
        <v>0</v>
      </c>
      <c r="M8" s="78">
        <f t="shared" si="8"/>
        <v>0</v>
      </c>
      <c r="N8" s="79">
        <f t="shared" si="9"/>
        <v>0</v>
      </c>
      <c r="O8" s="94">
        <f t="shared" si="10"/>
        <v>0</v>
      </c>
      <c r="P8" s="106">
        <f t="shared" si="11"/>
        <v>0</v>
      </c>
      <c r="Q8" s="94">
        <f t="shared" si="0"/>
        <v>0</v>
      </c>
      <c r="R8" s="78">
        <f t="shared" si="1"/>
        <v>0</v>
      </c>
      <c r="S8" s="84">
        <f t="shared" si="2"/>
        <v>0</v>
      </c>
      <c r="T8"/>
      <c r="U8"/>
      <c r="V8"/>
    </row>
    <row r="9" spans="1:22" s="16" customFormat="1" x14ac:dyDescent="0.45">
      <c r="A9"/>
      <c r="B9" s="75"/>
      <c r="C9" s="78"/>
      <c r="D9" s="105"/>
      <c r="E9" s="106"/>
      <c r="F9" s="71"/>
      <c r="G9" s="78">
        <f t="shared" si="12"/>
        <v>0</v>
      </c>
      <c r="H9" s="3">
        <f t="shared" si="3"/>
        <v>0</v>
      </c>
      <c r="I9" s="20">
        <f t="shared" si="4"/>
        <v>0</v>
      </c>
      <c r="J9" s="94">
        <f t="shared" si="5"/>
        <v>0</v>
      </c>
      <c r="K9" s="20">
        <f t="shared" si="6"/>
        <v>0</v>
      </c>
      <c r="L9" s="94">
        <f t="shared" si="7"/>
        <v>0</v>
      </c>
      <c r="M9" s="78">
        <f t="shared" si="8"/>
        <v>0</v>
      </c>
      <c r="N9" s="79">
        <f t="shared" si="9"/>
        <v>0</v>
      </c>
      <c r="O9" s="94">
        <f t="shared" si="10"/>
        <v>0</v>
      </c>
      <c r="P9" s="106">
        <f t="shared" si="11"/>
        <v>0</v>
      </c>
      <c r="Q9" s="94">
        <f t="shared" si="0"/>
        <v>0</v>
      </c>
      <c r="R9" s="78">
        <f t="shared" si="1"/>
        <v>0</v>
      </c>
      <c r="S9" s="84">
        <f t="shared" si="2"/>
        <v>0</v>
      </c>
      <c r="T9"/>
      <c r="U9"/>
      <c r="V9"/>
    </row>
    <row r="10" spans="1:22" s="16" customFormat="1" x14ac:dyDescent="0.45">
      <c r="A10"/>
      <c r="B10" s="75"/>
      <c r="C10" s="78"/>
      <c r="D10" s="105"/>
      <c r="E10" s="106"/>
      <c r="F10" s="71"/>
      <c r="G10" s="78">
        <f t="shared" si="12"/>
        <v>0</v>
      </c>
      <c r="H10" s="3">
        <f t="shared" si="3"/>
        <v>0</v>
      </c>
      <c r="I10" s="20">
        <f t="shared" si="4"/>
        <v>0</v>
      </c>
      <c r="J10" s="94">
        <f t="shared" si="5"/>
        <v>0</v>
      </c>
      <c r="K10" s="20">
        <f t="shared" si="6"/>
        <v>0</v>
      </c>
      <c r="L10" s="94">
        <f t="shared" si="7"/>
        <v>0</v>
      </c>
      <c r="M10" s="78">
        <f t="shared" si="8"/>
        <v>0</v>
      </c>
      <c r="N10" s="79">
        <f t="shared" si="9"/>
        <v>0</v>
      </c>
      <c r="O10" s="94">
        <f t="shared" si="10"/>
        <v>0</v>
      </c>
      <c r="P10" s="106">
        <f t="shared" si="11"/>
        <v>0</v>
      </c>
      <c r="Q10" s="94">
        <f t="shared" si="0"/>
        <v>0</v>
      </c>
      <c r="R10" s="78">
        <f t="shared" si="1"/>
        <v>0</v>
      </c>
      <c r="S10" s="84">
        <f t="shared" si="2"/>
        <v>0</v>
      </c>
      <c r="T10"/>
      <c r="U10"/>
      <c r="V10"/>
    </row>
    <row r="11" spans="1:22" s="16" customFormat="1" x14ac:dyDescent="0.45">
      <c r="A11"/>
      <c r="B11" s="75"/>
      <c r="C11" s="78"/>
      <c r="D11" s="105"/>
      <c r="E11" s="106"/>
      <c r="F11" s="71"/>
      <c r="G11" s="78">
        <f t="shared" si="12"/>
        <v>0</v>
      </c>
      <c r="H11" s="3">
        <f t="shared" si="3"/>
        <v>0</v>
      </c>
      <c r="I11" s="20">
        <f t="shared" si="4"/>
        <v>0</v>
      </c>
      <c r="J11" s="94">
        <f t="shared" si="5"/>
        <v>0</v>
      </c>
      <c r="K11" s="20">
        <f t="shared" si="6"/>
        <v>0</v>
      </c>
      <c r="L11" s="94">
        <f t="shared" si="7"/>
        <v>0</v>
      </c>
      <c r="M11" s="78">
        <f t="shared" si="8"/>
        <v>0</v>
      </c>
      <c r="N11" s="79">
        <f t="shared" si="9"/>
        <v>0</v>
      </c>
      <c r="O11" s="94">
        <f t="shared" si="10"/>
        <v>0</v>
      </c>
      <c r="P11" s="106">
        <f t="shared" si="11"/>
        <v>0</v>
      </c>
      <c r="Q11" s="94">
        <f t="shared" si="0"/>
        <v>0</v>
      </c>
      <c r="R11" s="78">
        <f t="shared" si="1"/>
        <v>0</v>
      </c>
      <c r="S11" s="84">
        <f t="shared" si="2"/>
        <v>0</v>
      </c>
      <c r="T11"/>
      <c r="U11"/>
      <c r="V11"/>
    </row>
    <row r="12" spans="1:22" s="16" customFormat="1" x14ac:dyDescent="0.45">
      <c r="A12"/>
      <c r="B12" s="75"/>
      <c r="C12" s="78"/>
      <c r="D12" s="105"/>
      <c r="E12" s="106"/>
      <c r="F12" s="71"/>
      <c r="G12" s="78">
        <f t="shared" si="12"/>
        <v>0</v>
      </c>
      <c r="H12" s="3">
        <f t="shared" si="3"/>
        <v>0</v>
      </c>
      <c r="I12" s="20">
        <f t="shared" si="4"/>
        <v>0</v>
      </c>
      <c r="J12" s="94">
        <f t="shared" si="5"/>
        <v>0</v>
      </c>
      <c r="K12" s="20">
        <f t="shared" si="6"/>
        <v>0</v>
      </c>
      <c r="L12" s="94">
        <f t="shared" si="7"/>
        <v>0</v>
      </c>
      <c r="M12" s="78">
        <f t="shared" si="8"/>
        <v>0</v>
      </c>
      <c r="N12" s="79">
        <f t="shared" si="9"/>
        <v>0</v>
      </c>
      <c r="O12" s="94">
        <f t="shared" si="10"/>
        <v>0</v>
      </c>
      <c r="P12" s="106">
        <f t="shared" si="11"/>
        <v>0</v>
      </c>
      <c r="Q12" s="94">
        <f t="shared" si="0"/>
        <v>0</v>
      </c>
      <c r="R12" s="78">
        <f t="shared" si="1"/>
        <v>0</v>
      </c>
      <c r="S12" s="84">
        <f t="shared" si="2"/>
        <v>0</v>
      </c>
      <c r="T12"/>
      <c r="U12"/>
      <c r="V12"/>
    </row>
    <row r="13" spans="1:22" s="16" customFormat="1" x14ac:dyDescent="0.45">
      <c r="A13"/>
      <c r="B13" s="75"/>
      <c r="C13" s="78"/>
      <c r="D13" s="105"/>
      <c r="E13" s="106"/>
      <c r="F13" s="71"/>
      <c r="G13" s="78">
        <f t="shared" si="12"/>
        <v>0</v>
      </c>
      <c r="H13" s="3">
        <f t="shared" si="3"/>
        <v>0</v>
      </c>
      <c r="I13" s="20">
        <f t="shared" si="4"/>
        <v>0</v>
      </c>
      <c r="J13" s="94">
        <f t="shared" si="5"/>
        <v>0</v>
      </c>
      <c r="K13" s="20">
        <f t="shared" si="6"/>
        <v>0</v>
      </c>
      <c r="L13" s="94">
        <f t="shared" si="7"/>
        <v>0</v>
      </c>
      <c r="M13" s="78">
        <f t="shared" si="8"/>
        <v>0</v>
      </c>
      <c r="N13" s="79">
        <f t="shared" si="9"/>
        <v>0</v>
      </c>
      <c r="O13" s="94">
        <f t="shared" si="10"/>
        <v>0</v>
      </c>
      <c r="P13" s="106">
        <f t="shared" si="11"/>
        <v>0</v>
      </c>
      <c r="Q13" s="94">
        <f t="shared" si="0"/>
        <v>0</v>
      </c>
      <c r="R13" s="78">
        <f t="shared" si="1"/>
        <v>0</v>
      </c>
      <c r="S13" s="84">
        <f t="shared" si="2"/>
        <v>0</v>
      </c>
      <c r="T13"/>
      <c r="U13"/>
      <c r="V13"/>
    </row>
    <row r="14" spans="1:22" s="16" customFormat="1" x14ac:dyDescent="0.45">
      <c r="A14"/>
      <c r="B14" s="75"/>
      <c r="C14" s="78"/>
      <c r="D14" s="105"/>
      <c r="E14" s="106"/>
      <c r="F14" s="71"/>
      <c r="G14" s="78">
        <f t="shared" si="12"/>
        <v>0</v>
      </c>
      <c r="H14" s="3">
        <f t="shared" si="3"/>
        <v>0</v>
      </c>
      <c r="I14" s="20">
        <f t="shared" si="4"/>
        <v>0</v>
      </c>
      <c r="J14" s="94">
        <f t="shared" si="5"/>
        <v>0</v>
      </c>
      <c r="K14" s="20">
        <f t="shared" si="6"/>
        <v>0</v>
      </c>
      <c r="L14" s="94">
        <f t="shared" si="7"/>
        <v>0</v>
      </c>
      <c r="M14" s="78">
        <f t="shared" si="8"/>
        <v>0</v>
      </c>
      <c r="N14" s="79">
        <f t="shared" si="9"/>
        <v>0</v>
      </c>
      <c r="O14" s="94">
        <f t="shared" si="10"/>
        <v>0</v>
      </c>
      <c r="P14" s="106">
        <f t="shared" si="11"/>
        <v>0</v>
      </c>
      <c r="Q14" s="94">
        <f t="shared" si="0"/>
        <v>0</v>
      </c>
      <c r="R14" s="78">
        <f t="shared" si="1"/>
        <v>0</v>
      </c>
      <c r="S14" s="84">
        <f t="shared" si="2"/>
        <v>0</v>
      </c>
      <c r="T14"/>
      <c r="U14"/>
      <c r="V14"/>
    </row>
    <row r="15" spans="1:22" s="16" customFormat="1" x14ac:dyDescent="0.45">
      <c r="A15"/>
      <c r="B15" s="75"/>
      <c r="C15" s="78"/>
      <c r="D15" s="105"/>
      <c r="E15" s="106"/>
      <c r="F15" s="71"/>
      <c r="G15" s="78">
        <f t="shared" si="12"/>
        <v>0</v>
      </c>
      <c r="H15" s="3">
        <f t="shared" si="3"/>
        <v>0</v>
      </c>
      <c r="I15" s="20">
        <f t="shared" si="4"/>
        <v>0</v>
      </c>
      <c r="J15" s="94">
        <f t="shared" si="5"/>
        <v>0</v>
      </c>
      <c r="K15" s="20">
        <f t="shared" si="6"/>
        <v>0</v>
      </c>
      <c r="L15" s="94">
        <f t="shared" si="7"/>
        <v>0</v>
      </c>
      <c r="M15" s="78">
        <f t="shared" si="8"/>
        <v>0</v>
      </c>
      <c r="N15" s="79">
        <f t="shared" si="9"/>
        <v>0</v>
      </c>
      <c r="O15" s="94">
        <f t="shared" si="10"/>
        <v>0</v>
      </c>
      <c r="P15" s="106">
        <f t="shared" si="11"/>
        <v>0</v>
      </c>
      <c r="Q15" s="94">
        <f t="shared" si="0"/>
        <v>0</v>
      </c>
      <c r="R15" s="78">
        <f t="shared" si="1"/>
        <v>0</v>
      </c>
      <c r="S15" s="84">
        <f t="shared" si="2"/>
        <v>0</v>
      </c>
      <c r="T15"/>
      <c r="U15"/>
      <c r="V15"/>
    </row>
    <row r="16" spans="1:22" s="16" customFormat="1" x14ac:dyDescent="0.45">
      <c r="A16"/>
      <c r="B16" s="75"/>
      <c r="C16" s="78"/>
      <c r="D16" s="105"/>
      <c r="E16" s="106"/>
      <c r="F16" s="71"/>
      <c r="G16" s="78">
        <f t="shared" si="12"/>
        <v>0</v>
      </c>
      <c r="H16" s="3">
        <f t="shared" si="3"/>
        <v>0</v>
      </c>
      <c r="I16" s="20">
        <f t="shared" si="4"/>
        <v>0</v>
      </c>
      <c r="J16" s="94">
        <f t="shared" si="5"/>
        <v>0</v>
      </c>
      <c r="K16" s="20">
        <f t="shared" si="6"/>
        <v>0</v>
      </c>
      <c r="L16" s="94">
        <f t="shared" si="7"/>
        <v>0</v>
      </c>
      <c r="M16" s="78">
        <f t="shared" si="8"/>
        <v>0</v>
      </c>
      <c r="N16" s="79">
        <f t="shared" si="9"/>
        <v>0</v>
      </c>
      <c r="O16" s="94">
        <f t="shared" si="10"/>
        <v>0</v>
      </c>
      <c r="P16" s="106">
        <f t="shared" si="11"/>
        <v>0</v>
      </c>
      <c r="Q16" s="94">
        <f t="shared" si="0"/>
        <v>0</v>
      </c>
      <c r="R16" s="78">
        <f t="shared" si="1"/>
        <v>0</v>
      </c>
      <c r="S16" s="84">
        <f t="shared" si="2"/>
        <v>0</v>
      </c>
      <c r="T16"/>
      <c r="U16"/>
      <c r="V16"/>
    </row>
    <row r="17" spans="1:22" s="16" customFormat="1" x14ac:dyDescent="0.45">
      <c r="A17"/>
      <c r="B17" s="75"/>
      <c r="C17" s="78"/>
      <c r="D17" s="105"/>
      <c r="E17" s="106"/>
      <c r="F17" s="71"/>
      <c r="G17" s="78">
        <f t="shared" si="12"/>
        <v>0</v>
      </c>
      <c r="H17" s="3">
        <f t="shared" si="3"/>
        <v>0</v>
      </c>
      <c r="I17" s="20">
        <f t="shared" si="4"/>
        <v>0</v>
      </c>
      <c r="J17" s="94">
        <f t="shared" si="5"/>
        <v>0</v>
      </c>
      <c r="K17" s="20">
        <f t="shared" si="6"/>
        <v>0</v>
      </c>
      <c r="L17" s="94">
        <f t="shared" si="7"/>
        <v>0</v>
      </c>
      <c r="M17" s="78">
        <f t="shared" si="8"/>
        <v>0</v>
      </c>
      <c r="N17" s="79">
        <f t="shared" si="9"/>
        <v>0</v>
      </c>
      <c r="O17" s="94">
        <f t="shared" si="10"/>
        <v>0</v>
      </c>
      <c r="P17" s="106">
        <f t="shared" si="11"/>
        <v>0</v>
      </c>
      <c r="Q17" s="94">
        <f t="shared" si="0"/>
        <v>0</v>
      </c>
      <c r="R17" s="78">
        <f t="shared" si="1"/>
        <v>0</v>
      </c>
      <c r="S17" s="84">
        <f t="shared" si="2"/>
        <v>0</v>
      </c>
      <c r="T17"/>
      <c r="U17"/>
      <c r="V17"/>
    </row>
    <row r="18" spans="1:22" s="16" customFormat="1" x14ac:dyDescent="0.45">
      <c r="A18"/>
      <c r="B18" s="75"/>
      <c r="C18" s="78"/>
      <c r="D18" s="105"/>
      <c r="E18" s="106"/>
      <c r="F18" s="71"/>
      <c r="G18" s="78">
        <f t="shared" si="12"/>
        <v>0</v>
      </c>
      <c r="H18" s="3">
        <f t="shared" si="3"/>
        <v>0</v>
      </c>
      <c r="I18" s="20">
        <f t="shared" si="4"/>
        <v>0</v>
      </c>
      <c r="J18" s="94">
        <f t="shared" si="5"/>
        <v>0</v>
      </c>
      <c r="K18" s="20">
        <f t="shared" si="6"/>
        <v>0</v>
      </c>
      <c r="L18" s="94">
        <f t="shared" si="7"/>
        <v>0</v>
      </c>
      <c r="M18" s="78">
        <f t="shared" si="8"/>
        <v>0</v>
      </c>
      <c r="N18" s="79">
        <f t="shared" si="9"/>
        <v>0</v>
      </c>
      <c r="O18" s="94">
        <f t="shared" si="10"/>
        <v>0</v>
      </c>
      <c r="P18" s="106">
        <f t="shared" si="11"/>
        <v>0</v>
      </c>
      <c r="Q18" s="94">
        <f t="shared" si="0"/>
        <v>0</v>
      </c>
      <c r="R18" s="78">
        <f t="shared" si="1"/>
        <v>0</v>
      </c>
      <c r="S18" s="84">
        <f t="shared" si="2"/>
        <v>0</v>
      </c>
      <c r="T18"/>
      <c r="U18"/>
      <c r="V18"/>
    </row>
    <row r="19" spans="1:22" s="16" customFormat="1" x14ac:dyDescent="0.45">
      <c r="A19"/>
      <c r="B19" s="75"/>
      <c r="C19" s="78"/>
      <c r="D19" s="105"/>
      <c r="E19" s="106"/>
      <c r="F19" s="71"/>
      <c r="G19" s="78">
        <f t="shared" si="12"/>
        <v>0</v>
      </c>
      <c r="H19" s="3">
        <f t="shared" si="3"/>
        <v>0</v>
      </c>
      <c r="I19" s="20">
        <f t="shared" si="4"/>
        <v>0</v>
      </c>
      <c r="J19" s="94">
        <f t="shared" si="5"/>
        <v>0</v>
      </c>
      <c r="K19" s="20">
        <f t="shared" si="6"/>
        <v>0</v>
      </c>
      <c r="L19" s="94">
        <f t="shared" si="7"/>
        <v>0</v>
      </c>
      <c r="M19" s="78">
        <f t="shared" si="8"/>
        <v>0</v>
      </c>
      <c r="N19" s="79">
        <f t="shared" si="9"/>
        <v>0</v>
      </c>
      <c r="O19" s="94">
        <f t="shared" si="10"/>
        <v>0</v>
      </c>
      <c r="P19" s="106">
        <f t="shared" si="11"/>
        <v>0</v>
      </c>
      <c r="Q19" s="94">
        <f t="shared" si="0"/>
        <v>0</v>
      </c>
      <c r="R19" s="78">
        <f t="shared" si="1"/>
        <v>0</v>
      </c>
      <c r="S19" s="84">
        <f t="shared" si="2"/>
        <v>0</v>
      </c>
      <c r="T19"/>
      <c r="U19"/>
      <c r="V19"/>
    </row>
    <row r="20" spans="1:22" s="16" customFormat="1" x14ac:dyDescent="0.45">
      <c r="A20"/>
      <c r="B20" s="75"/>
      <c r="C20" s="78"/>
      <c r="D20" s="105"/>
      <c r="E20" s="106"/>
      <c r="F20" s="71"/>
      <c r="G20" s="78">
        <f t="shared" si="12"/>
        <v>0</v>
      </c>
      <c r="H20" s="3">
        <f t="shared" si="3"/>
        <v>0</v>
      </c>
      <c r="I20" s="20">
        <f t="shared" si="4"/>
        <v>0</v>
      </c>
      <c r="J20" s="94">
        <f t="shared" si="5"/>
        <v>0</v>
      </c>
      <c r="K20" s="20">
        <f t="shared" si="6"/>
        <v>0</v>
      </c>
      <c r="L20" s="94">
        <f t="shared" si="7"/>
        <v>0</v>
      </c>
      <c r="M20" s="78">
        <f t="shared" si="8"/>
        <v>0</v>
      </c>
      <c r="N20" s="79">
        <f t="shared" si="9"/>
        <v>0</v>
      </c>
      <c r="O20" s="94">
        <f t="shared" si="10"/>
        <v>0</v>
      </c>
      <c r="P20" s="106">
        <f t="shared" si="11"/>
        <v>0</v>
      </c>
      <c r="Q20" s="94">
        <f t="shared" si="0"/>
        <v>0</v>
      </c>
      <c r="R20" s="78">
        <f t="shared" si="1"/>
        <v>0</v>
      </c>
      <c r="S20" s="84">
        <f t="shared" si="2"/>
        <v>0</v>
      </c>
      <c r="T20"/>
      <c r="U20"/>
      <c r="V20"/>
    </row>
    <row r="21" spans="1:22" s="16" customFormat="1" x14ac:dyDescent="0.45">
      <c r="A21"/>
      <c r="B21" s="75"/>
      <c r="C21" s="78"/>
      <c r="D21" s="105"/>
      <c r="E21" s="106"/>
      <c r="F21" s="71"/>
      <c r="G21" s="78">
        <f t="shared" si="12"/>
        <v>0</v>
      </c>
      <c r="H21" s="3">
        <f t="shared" si="3"/>
        <v>0</v>
      </c>
      <c r="I21" s="20">
        <f t="shared" si="4"/>
        <v>0</v>
      </c>
      <c r="J21" s="94">
        <f t="shared" si="5"/>
        <v>0</v>
      </c>
      <c r="K21" s="20">
        <f t="shared" si="6"/>
        <v>0</v>
      </c>
      <c r="L21" s="94">
        <f t="shared" si="7"/>
        <v>0</v>
      </c>
      <c r="M21" s="78">
        <f t="shared" si="8"/>
        <v>0</v>
      </c>
      <c r="N21" s="79">
        <f t="shared" si="9"/>
        <v>0</v>
      </c>
      <c r="O21" s="94">
        <f t="shared" si="10"/>
        <v>0</v>
      </c>
      <c r="P21" s="106">
        <f t="shared" si="11"/>
        <v>0</v>
      </c>
      <c r="Q21" s="94">
        <f t="shared" si="0"/>
        <v>0</v>
      </c>
      <c r="R21" s="78">
        <f t="shared" si="1"/>
        <v>0</v>
      </c>
      <c r="S21" s="84">
        <f t="shared" si="2"/>
        <v>0</v>
      </c>
      <c r="T21"/>
      <c r="U21"/>
      <c r="V21"/>
    </row>
    <row r="22" spans="1:22" s="16" customFormat="1" x14ac:dyDescent="0.45">
      <c r="A22"/>
      <c r="B22" s="75"/>
      <c r="C22" s="78"/>
      <c r="D22" s="105"/>
      <c r="E22" s="106"/>
      <c r="F22" s="71"/>
      <c r="G22" s="78">
        <f t="shared" si="12"/>
        <v>0</v>
      </c>
      <c r="H22" s="3">
        <f t="shared" si="3"/>
        <v>0</v>
      </c>
      <c r="I22" s="20">
        <f t="shared" si="4"/>
        <v>0</v>
      </c>
      <c r="J22" s="94">
        <f t="shared" si="5"/>
        <v>0</v>
      </c>
      <c r="K22" s="20">
        <f t="shared" si="6"/>
        <v>0</v>
      </c>
      <c r="L22" s="94">
        <f t="shared" si="7"/>
        <v>0</v>
      </c>
      <c r="M22" s="78">
        <f t="shared" si="8"/>
        <v>0</v>
      </c>
      <c r="N22" s="79">
        <f t="shared" si="9"/>
        <v>0</v>
      </c>
      <c r="O22" s="94">
        <f t="shared" si="10"/>
        <v>0</v>
      </c>
      <c r="P22" s="106">
        <f t="shared" si="11"/>
        <v>0</v>
      </c>
      <c r="Q22" s="94">
        <f t="shared" si="0"/>
        <v>0</v>
      </c>
      <c r="R22" s="78">
        <f t="shared" si="1"/>
        <v>0</v>
      </c>
      <c r="S22" s="84">
        <f t="shared" si="2"/>
        <v>0</v>
      </c>
      <c r="T22"/>
      <c r="U22"/>
      <c r="V22"/>
    </row>
    <row r="23" spans="1:22" s="16" customFormat="1" x14ac:dyDescent="0.45">
      <c r="A23"/>
      <c r="B23" s="75"/>
      <c r="C23" s="78"/>
      <c r="D23" s="105"/>
      <c r="E23" s="106"/>
      <c r="F23" s="71"/>
      <c r="G23" s="78">
        <f t="shared" si="12"/>
        <v>0</v>
      </c>
      <c r="H23" s="3">
        <f t="shared" si="3"/>
        <v>0</v>
      </c>
      <c r="I23" s="20">
        <f t="shared" si="4"/>
        <v>0</v>
      </c>
      <c r="J23" s="94">
        <f t="shared" si="5"/>
        <v>0</v>
      </c>
      <c r="K23" s="20">
        <f t="shared" si="6"/>
        <v>0</v>
      </c>
      <c r="L23" s="94">
        <f t="shared" si="7"/>
        <v>0</v>
      </c>
      <c r="M23" s="78">
        <f t="shared" si="8"/>
        <v>0</v>
      </c>
      <c r="N23" s="79">
        <f t="shared" si="9"/>
        <v>0</v>
      </c>
      <c r="O23" s="94">
        <f t="shared" si="10"/>
        <v>0</v>
      </c>
      <c r="P23" s="106">
        <f t="shared" si="11"/>
        <v>0</v>
      </c>
      <c r="Q23" s="94">
        <f t="shared" si="0"/>
        <v>0</v>
      </c>
      <c r="R23" s="78">
        <f t="shared" si="1"/>
        <v>0</v>
      </c>
      <c r="S23" s="84">
        <f t="shared" si="2"/>
        <v>0</v>
      </c>
      <c r="T23"/>
      <c r="U23"/>
      <c r="V23"/>
    </row>
    <row r="24" spans="1:22" s="16" customFormat="1" x14ac:dyDescent="0.45">
      <c r="A24"/>
      <c r="B24" s="75"/>
      <c r="C24" s="78"/>
      <c r="D24" s="105"/>
      <c r="E24" s="106"/>
      <c r="F24" s="71"/>
      <c r="G24" s="78">
        <f t="shared" si="12"/>
        <v>0</v>
      </c>
      <c r="H24" s="3">
        <f t="shared" si="3"/>
        <v>0</v>
      </c>
      <c r="I24" s="20">
        <f t="shared" si="4"/>
        <v>0</v>
      </c>
      <c r="J24" s="94">
        <f t="shared" si="5"/>
        <v>0</v>
      </c>
      <c r="K24" s="20">
        <f t="shared" si="6"/>
        <v>0</v>
      </c>
      <c r="L24" s="94">
        <f t="shared" si="7"/>
        <v>0</v>
      </c>
      <c r="M24" s="78">
        <f t="shared" si="8"/>
        <v>0</v>
      </c>
      <c r="N24" s="79">
        <f t="shared" si="9"/>
        <v>0</v>
      </c>
      <c r="O24" s="94">
        <f t="shared" si="10"/>
        <v>0</v>
      </c>
      <c r="P24" s="106">
        <f t="shared" si="11"/>
        <v>0</v>
      </c>
      <c r="Q24" s="94">
        <f t="shared" si="0"/>
        <v>0</v>
      </c>
      <c r="R24" s="78">
        <f t="shared" si="1"/>
        <v>0</v>
      </c>
      <c r="S24" s="84">
        <f t="shared" si="2"/>
        <v>0</v>
      </c>
      <c r="T24"/>
      <c r="U24"/>
      <c r="V24"/>
    </row>
    <row r="25" spans="1:22" s="16" customFormat="1" x14ac:dyDescent="0.45">
      <c r="A25"/>
      <c r="B25" s="75"/>
      <c r="C25" s="78"/>
      <c r="D25" s="105"/>
      <c r="E25" s="106"/>
      <c r="F25" s="71"/>
      <c r="G25" s="78">
        <f t="shared" si="12"/>
        <v>0</v>
      </c>
      <c r="H25" s="3">
        <f t="shared" si="3"/>
        <v>0</v>
      </c>
      <c r="I25" s="20">
        <f t="shared" si="4"/>
        <v>0</v>
      </c>
      <c r="J25" s="94">
        <f t="shared" si="5"/>
        <v>0</v>
      </c>
      <c r="K25" s="20">
        <f t="shared" si="6"/>
        <v>0</v>
      </c>
      <c r="L25" s="94">
        <f t="shared" si="7"/>
        <v>0</v>
      </c>
      <c r="M25" s="78">
        <f t="shared" si="8"/>
        <v>0</v>
      </c>
      <c r="N25" s="79">
        <f t="shared" si="9"/>
        <v>0</v>
      </c>
      <c r="O25" s="94">
        <f t="shared" si="10"/>
        <v>0</v>
      </c>
      <c r="P25" s="106">
        <f t="shared" si="11"/>
        <v>0</v>
      </c>
      <c r="Q25" s="94">
        <f t="shared" si="0"/>
        <v>0</v>
      </c>
      <c r="R25" s="78">
        <f t="shared" si="1"/>
        <v>0</v>
      </c>
      <c r="S25" s="84">
        <f t="shared" si="2"/>
        <v>0</v>
      </c>
      <c r="T25"/>
      <c r="U25"/>
      <c r="V25"/>
    </row>
    <row r="26" spans="1:22" s="16" customFormat="1" x14ac:dyDescent="0.45">
      <c r="A26"/>
      <c r="B26" s="75"/>
      <c r="C26" s="78"/>
      <c r="D26" s="105"/>
      <c r="E26" s="106"/>
      <c r="F26" s="71"/>
      <c r="G26" s="78">
        <f t="shared" si="12"/>
        <v>0</v>
      </c>
      <c r="H26" s="3">
        <f t="shared" si="3"/>
        <v>0</v>
      </c>
      <c r="I26" s="20">
        <f t="shared" si="4"/>
        <v>0</v>
      </c>
      <c r="J26" s="94">
        <f t="shared" si="5"/>
        <v>0</v>
      </c>
      <c r="K26" s="20">
        <f t="shared" si="6"/>
        <v>0</v>
      </c>
      <c r="L26" s="94">
        <f t="shared" si="7"/>
        <v>0</v>
      </c>
      <c r="M26" s="78">
        <f t="shared" si="8"/>
        <v>0</v>
      </c>
      <c r="N26" s="79">
        <f t="shared" si="9"/>
        <v>0</v>
      </c>
      <c r="O26" s="94">
        <f t="shared" si="10"/>
        <v>0</v>
      </c>
      <c r="P26" s="106">
        <f t="shared" si="11"/>
        <v>0</v>
      </c>
      <c r="Q26" s="94">
        <f t="shared" si="0"/>
        <v>0</v>
      </c>
      <c r="R26" s="78">
        <f t="shared" si="1"/>
        <v>0</v>
      </c>
      <c r="S26" s="84">
        <f t="shared" si="2"/>
        <v>0</v>
      </c>
      <c r="T26"/>
      <c r="U26"/>
      <c r="V26"/>
    </row>
    <row r="27" spans="1:22" s="16" customFormat="1" x14ac:dyDescent="0.45">
      <c r="A27"/>
      <c r="B27" s="75"/>
      <c r="C27" s="78"/>
      <c r="D27" s="105"/>
      <c r="E27" s="106"/>
      <c r="F27" s="71"/>
      <c r="G27" s="78">
        <f t="shared" si="12"/>
        <v>0</v>
      </c>
      <c r="H27" s="3">
        <f t="shared" si="3"/>
        <v>0</v>
      </c>
      <c r="I27" s="20">
        <f t="shared" si="4"/>
        <v>0</v>
      </c>
      <c r="J27" s="94">
        <f t="shared" si="5"/>
        <v>0</v>
      </c>
      <c r="K27" s="20">
        <f t="shared" si="6"/>
        <v>0</v>
      </c>
      <c r="L27" s="94">
        <f t="shared" si="7"/>
        <v>0</v>
      </c>
      <c r="M27" s="78">
        <f t="shared" si="8"/>
        <v>0</v>
      </c>
      <c r="N27" s="79">
        <f t="shared" si="9"/>
        <v>0</v>
      </c>
      <c r="O27" s="94">
        <f t="shared" si="10"/>
        <v>0</v>
      </c>
      <c r="P27" s="106">
        <f t="shared" si="11"/>
        <v>0</v>
      </c>
      <c r="Q27" s="94">
        <f t="shared" si="0"/>
        <v>0</v>
      </c>
      <c r="R27" s="78">
        <f t="shared" si="1"/>
        <v>0</v>
      </c>
      <c r="S27" s="84">
        <f t="shared" si="2"/>
        <v>0</v>
      </c>
      <c r="T27"/>
      <c r="U27"/>
      <c r="V27"/>
    </row>
    <row r="28" spans="1:22" s="16" customFormat="1" x14ac:dyDescent="0.45">
      <c r="A28"/>
      <c r="B28" s="75"/>
      <c r="C28" s="78"/>
      <c r="D28" s="105"/>
      <c r="E28" s="106"/>
      <c r="F28" s="71"/>
      <c r="G28" s="78">
        <f t="shared" si="12"/>
        <v>0</v>
      </c>
      <c r="H28" s="3">
        <f t="shared" si="3"/>
        <v>0</v>
      </c>
      <c r="I28" s="20">
        <f t="shared" si="4"/>
        <v>0</v>
      </c>
      <c r="J28" s="94">
        <f t="shared" si="5"/>
        <v>0</v>
      </c>
      <c r="K28" s="20">
        <f t="shared" si="6"/>
        <v>0</v>
      </c>
      <c r="L28" s="94">
        <f t="shared" si="7"/>
        <v>0</v>
      </c>
      <c r="M28" s="78">
        <f t="shared" si="8"/>
        <v>0</v>
      </c>
      <c r="N28" s="79">
        <f t="shared" si="9"/>
        <v>0</v>
      </c>
      <c r="O28" s="94">
        <f t="shared" si="10"/>
        <v>0</v>
      </c>
      <c r="P28" s="106">
        <f t="shared" si="11"/>
        <v>0</v>
      </c>
      <c r="Q28" s="94">
        <f t="shared" si="0"/>
        <v>0</v>
      </c>
      <c r="R28" s="78">
        <f t="shared" si="1"/>
        <v>0</v>
      </c>
      <c r="S28" s="84">
        <f t="shared" si="2"/>
        <v>0</v>
      </c>
      <c r="T28"/>
      <c r="U28"/>
      <c r="V28"/>
    </row>
    <row r="29" spans="1:22" s="16" customFormat="1" x14ac:dyDescent="0.45">
      <c r="A29"/>
      <c r="B29" s="75"/>
      <c r="C29" s="78"/>
      <c r="D29" s="105"/>
      <c r="E29" s="106"/>
      <c r="F29" s="71"/>
      <c r="G29" s="78">
        <f t="shared" si="12"/>
        <v>0</v>
      </c>
      <c r="H29" s="3">
        <f t="shared" si="3"/>
        <v>0</v>
      </c>
      <c r="I29" s="20">
        <f t="shared" si="4"/>
        <v>0</v>
      </c>
      <c r="J29" s="94">
        <f t="shared" si="5"/>
        <v>0</v>
      </c>
      <c r="K29" s="20">
        <f t="shared" si="6"/>
        <v>0</v>
      </c>
      <c r="L29" s="94">
        <f t="shared" si="7"/>
        <v>0</v>
      </c>
      <c r="M29" s="78">
        <f t="shared" si="8"/>
        <v>0</v>
      </c>
      <c r="N29" s="79">
        <f t="shared" si="9"/>
        <v>0</v>
      </c>
      <c r="O29" s="94">
        <f t="shared" si="10"/>
        <v>0</v>
      </c>
      <c r="P29" s="106">
        <f t="shared" si="11"/>
        <v>0</v>
      </c>
      <c r="Q29" s="94">
        <f t="shared" si="0"/>
        <v>0</v>
      </c>
      <c r="R29" s="78">
        <f t="shared" si="1"/>
        <v>0</v>
      </c>
      <c r="S29" s="84">
        <f t="shared" si="2"/>
        <v>0</v>
      </c>
      <c r="T29"/>
      <c r="U29"/>
      <c r="V29"/>
    </row>
    <row r="30" spans="1:22" s="16" customFormat="1" x14ac:dyDescent="0.45">
      <c r="A30"/>
      <c r="B30" s="75"/>
      <c r="C30" s="78"/>
      <c r="D30" s="105"/>
      <c r="E30" s="106"/>
      <c r="F30" s="71"/>
      <c r="G30" s="78">
        <f t="shared" si="12"/>
        <v>0</v>
      </c>
      <c r="H30" s="3">
        <f t="shared" si="3"/>
        <v>0</v>
      </c>
      <c r="I30" s="20">
        <f t="shared" si="4"/>
        <v>0</v>
      </c>
      <c r="J30" s="94">
        <f t="shared" si="5"/>
        <v>0</v>
      </c>
      <c r="K30" s="20">
        <f t="shared" si="6"/>
        <v>0</v>
      </c>
      <c r="L30" s="94">
        <f t="shared" si="7"/>
        <v>0</v>
      </c>
      <c r="M30" s="78">
        <f t="shared" si="8"/>
        <v>0</v>
      </c>
      <c r="N30" s="79">
        <f t="shared" si="9"/>
        <v>0</v>
      </c>
      <c r="O30" s="94">
        <f t="shared" si="10"/>
        <v>0</v>
      </c>
      <c r="P30" s="106">
        <f t="shared" si="11"/>
        <v>0</v>
      </c>
      <c r="Q30" s="94">
        <f t="shared" si="0"/>
        <v>0</v>
      </c>
      <c r="R30" s="78">
        <f t="shared" si="1"/>
        <v>0</v>
      </c>
      <c r="S30" s="84">
        <f t="shared" si="2"/>
        <v>0</v>
      </c>
      <c r="T30"/>
      <c r="U30"/>
      <c r="V30"/>
    </row>
    <row r="31" spans="1:22" s="16" customFormat="1" x14ac:dyDescent="0.45">
      <c r="A31"/>
      <c r="B31" s="75"/>
      <c r="C31" s="78"/>
      <c r="D31" s="105"/>
      <c r="E31" s="106"/>
      <c r="F31" s="71"/>
      <c r="G31" s="78">
        <f t="shared" si="12"/>
        <v>0</v>
      </c>
      <c r="H31" s="3">
        <f t="shared" si="3"/>
        <v>0</v>
      </c>
      <c r="I31" s="20">
        <f t="shared" si="4"/>
        <v>0</v>
      </c>
      <c r="J31" s="94">
        <f t="shared" si="5"/>
        <v>0</v>
      </c>
      <c r="K31" s="20">
        <f t="shared" si="6"/>
        <v>0</v>
      </c>
      <c r="L31" s="94">
        <f t="shared" si="7"/>
        <v>0</v>
      </c>
      <c r="M31" s="78">
        <f t="shared" si="8"/>
        <v>0</v>
      </c>
      <c r="N31" s="79">
        <f t="shared" si="9"/>
        <v>0</v>
      </c>
      <c r="O31" s="94">
        <f t="shared" si="10"/>
        <v>0</v>
      </c>
      <c r="P31" s="106">
        <f t="shared" si="11"/>
        <v>0</v>
      </c>
      <c r="Q31" s="94">
        <f t="shared" si="0"/>
        <v>0</v>
      </c>
      <c r="R31" s="78">
        <f t="shared" si="1"/>
        <v>0</v>
      </c>
      <c r="S31" s="84">
        <f t="shared" si="2"/>
        <v>0</v>
      </c>
      <c r="T31"/>
      <c r="U31"/>
      <c r="V31"/>
    </row>
    <row r="32" spans="1:22" s="16" customFormat="1" x14ac:dyDescent="0.45">
      <c r="A32"/>
      <c r="B32" s="75"/>
      <c r="C32" s="78"/>
      <c r="D32" s="105"/>
      <c r="E32" s="106"/>
      <c r="F32" s="71"/>
      <c r="G32" s="78">
        <f t="shared" si="12"/>
        <v>0</v>
      </c>
      <c r="H32" s="3">
        <f t="shared" si="3"/>
        <v>0</v>
      </c>
      <c r="I32" s="20">
        <f t="shared" si="4"/>
        <v>0</v>
      </c>
      <c r="J32" s="94">
        <f t="shared" si="5"/>
        <v>0</v>
      </c>
      <c r="K32" s="20">
        <f t="shared" si="6"/>
        <v>0</v>
      </c>
      <c r="L32" s="94">
        <f t="shared" si="7"/>
        <v>0</v>
      </c>
      <c r="M32" s="78">
        <f t="shared" si="8"/>
        <v>0</v>
      </c>
      <c r="N32" s="79">
        <f t="shared" si="9"/>
        <v>0</v>
      </c>
      <c r="O32" s="94">
        <f t="shared" si="10"/>
        <v>0</v>
      </c>
      <c r="P32" s="106">
        <f t="shared" si="11"/>
        <v>0</v>
      </c>
      <c r="Q32" s="94">
        <f t="shared" si="0"/>
        <v>0</v>
      </c>
      <c r="R32" s="78">
        <f t="shared" si="1"/>
        <v>0</v>
      </c>
      <c r="S32" s="84">
        <f t="shared" si="2"/>
        <v>0</v>
      </c>
      <c r="T32"/>
      <c r="U32"/>
      <c r="V32"/>
    </row>
    <row r="33" spans="1:22" s="16" customFormat="1" x14ac:dyDescent="0.45">
      <c r="A33"/>
      <c r="B33" s="75"/>
      <c r="C33" s="78"/>
      <c r="D33" s="105"/>
      <c r="E33" s="106"/>
      <c r="F33" s="71"/>
      <c r="G33" s="78">
        <f t="shared" si="12"/>
        <v>0</v>
      </c>
      <c r="H33" s="3">
        <f t="shared" si="3"/>
        <v>0</v>
      </c>
      <c r="I33" s="20">
        <f t="shared" si="4"/>
        <v>0</v>
      </c>
      <c r="J33" s="94">
        <f t="shared" si="5"/>
        <v>0</v>
      </c>
      <c r="K33" s="20">
        <f t="shared" si="6"/>
        <v>0</v>
      </c>
      <c r="L33" s="94">
        <f t="shared" si="7"/>
        <v>0</v>
      </c>
      <c r="M33" s="78">
        <f t="shared" si="8"/>
        <v>0</v>
      </c>
      <c r="N33" s="79">
        <f t="shared" si="9"/>
        <v>0</v>
      </c>
      <c r="O33" s="94">
        <f t="shared" si="10"/>
        <v>0</v>
      </c>
      <c r="P33" s="106">
        <f t="shared" si="11"/>
        <v>0</v>
      </c>
      <c r="Q33" s="94">
        <f t="shared" si="0"/>
        <v>0</v>
      </c>
      <c r="R33" s="78">
        <f t="shared" si="1"/>
        <v>0</v>
      </c>
      <c r="S33" s="84">
        <f t="shared" si="2"/>
        <v>0</v>
      </c>
      <c r="T33"/>
      <c r="U33"/>
      <c r="V33"/>
    </row>
    <row r="34" spans="1:22" s="16" customFormat="1" x14ac:dyDescent="0.45">
      <c r="A34"/>
      <c r="B34" s="75"/>
      <c r="C34" s="78"/>
      <c r="D34" s="105"/>
      <c r="E34" s="106"/>
      <c r="F34" s="71"/>
      <c r="G34" s="78">
        <f t="shared" si="12"/>
        <v>0</v>
      </c>
      <c r="H34" s="3">
        <f t="shared" si="3"/>
        <v>0</v>
      </c>
      <c r="I34" s="20">
        <f t="shared" si="4"/>
        <v>0</v>
      </c>
      <c r="J34" s="94">
        <f t="shared" si="5"/>
        <v>0</v>
      </c>
      <c r="K34" s="20">
        <f t="shared" si="6"/>
        <v>0</v>
      </c>
      <c r="L34" s="94">
        <f t="shared" si="7"/>
        <v>0</v>
      </c>
      <c r="M34" s="78">
        <f t="shared" si="8"/>
        <v>0</v>
      </c>
      <c r="N34" s="79">
        <f t="shared" si="9"/>
        <v>0</v>
      </c>
      <c r="O34" s="94">
        <f t="shared" si="10"/>
        <v>0</v>
      </c>
      <c r="P34" s="106">
        <f t="shared" si="11"/>
        <v>0</v>
      </c>
      <c r="Q34" s="94">
        <f t="shared" si="0"/>
        <v>0</v>
      </c>
      <c r="R34" s="78">
        <f t="shared" si="1"/>
        <v>0</v>
      </c>
      <c r="S34" s="84">
        <f t="shared" si="2"/>
        <v>0</v>
      </c>
      <c r="T34"/>
      <c r="U34"/>
      <c r="V34"/>
    </row>
    <row r="35" spans="1:22" s="16" customFormat="1" x14ac:dyDescent="0.45">
      <c r="A35"/>
      <c r="B35" s="75"/>
      <c r="C35" s="78"/>
      <c r="D35" s="105"/>
      <c r="E35" s="106"/>
      <c r="F35" s="71"/>
      <c r="G35" s="78">
        <f t="shared" si="12"/>
        <v>0</v>
      </c>
      <c r="H35" s="3">
        <f t="shared" si="3"/>
        <v>0</v>
      </c>
      <c r="I35" s="20">
        <f t="shared" si="4"/>
        <v>0</v>
      </c>
      <c r="J35" s="94">
        <f t="shared" si="5"/>
        <v>0</v>
      </c>
      <c r="K35" s="20">
        <f t="shared" si="6"/>
        <v>0</v>
      </c>
      <c r="L35" s="94">
        <f t="shared" si="7"/>
        <v>0</v>
      </c>
      <c r="M35" s="78">
        <f t="shared" si="8"/>
        <v>0</v>
      </c>
      <c r="N35" s="79">
        <f t="shared" si="9"/>
        <v>0</v>
      </c>
      <c r="O35" s="94">
        <f t="shared" si="10"/>
        <v>0</v>
      </c>
      <c r="P35" s="106">
        <f t="shared" si="11"/>
        <v>0</v>
      </c>
      <c r="Q35" s="94">
        <f t="shared" si="0"/>
        <v>0</v>
      </c>
      <c r="R35" s="78">
        <f t="shared" si="1"/>
        <v>0</v>
      </c>
      <c r="S35" s="84">
        <f t="shared" si="2"/>
        <v>0</v>
      </c>
      <c r="T35"/>
      <c r="U35"/>
      <c r="V35"/>
    </row>
    <row r="36" spans="1:22" s="16" customFormat="1" x14ac:dyDescent="0.45">
      <c r="A36"/>
      <c r="B36" s="75"/>
      <c r="C36" s="78"/>
      <c r="D36" s="105"/>
      <c r="E36" s="106"/>
      <c r="F36" s="71"/>
      <c r="G36" s="78">
        <f t="shared" si="12"/>
        <v>0</v>
      </c>
      <c r="H36" s="3">
        <f t="shared" si="3"/>
        <v>0</v>
      </c>
      <c r="I36" s="20">
        <f t="shared" si="4"/>
        <v>0</v>
      </c>
      <c r="J36" s="94">
        <f t="shared" si="5"/>
        <v>0</v>
      </c>
      <c r="K36" s="20">
        <f t="shared" si="6"/>
        <v>0</v>
      </c>
      <c r="L36" s="94">
        <f t="shared" si="7"/>
        <v>0</v>
      </c>
      <c r="M36" s="78">
        <f t="shared" si="8"/>
        <v>0</v>
      </c>
      <c r="N36" s="79">
        <f t="shared" si="9"/>
        <v>0</v>
      </c>
      <c r="O36" s="94">
        <f t="shared" si="10"/>
        <v>0</v>
      </c>
      <c r="P36" s="106">
        <f t="shared" si="11"/>
        <v>0</v>
      </c>
      <c r="Q36" s="94">
        <f t="shared" si="0"/>
        <v>0</v>
      </c>
      <c r="R36" s="78">
        <f t="shared" si="1"/>
        <v>0</v>
      </c>
      <c r="S36" s="84">
        <f t="shared" si="2"/>
        <v>0</v>
      </c>
      <c r="T36"/>
      <c r="U36"/>
      <c r="V36"/>
    </row>
    <row r="37" spans="1:22" s="16" customFormat="1" x14ac:dyDescent="0.45">
      <c r="A37"/>
      <c r="B37" s="75"/>
      <c r="C37" s="78"/>
      <c r="D37" s="105"/>
      <c r="E37" s="106"/>
      <c r="F37" s="71"/>
      <c r="G37" s="78">
        <f t="shared" si="12"/>
        <v>0</v>
      </c>
      <c r="H37" s="3">
        <f t="shared" si="3"/>
        <v>0</v>
      </c>
      <c r="I37" s="20">
        <f t="shared" si="4"/>
        <v>0</v>
      </c>
      <c r="J37" s="94">
        <f t="shared" si="5"/>
        <v>0</v>
      </c>
      <c r="K37" s="20">
        <f t="shared" si="6"/>
        <v>0</v>
      </c>
      <c r="L37" s="94">
        <f t="shared" si="7"/>
        <v>0</v>
      </c>
      <c r="M37" s="78">
        <f t="shared" si="8"/>
        <v>0</v>
      </c>
      <c r="N37" s="79">
        <f t="shared" si="9"/>
        <v>0</v>
      </c>
      <c r="O37" s="94">
        <f t="shared" si="10"/>
        <v>0</v>
      </c>
      <c r="P37" s="106">
        <f t="shared" si="11"/>
        <v>0</v>
      </c>
      <c r="Q37" s="94">
        <f t="shared" si="0"/>
        <v>0</v>
      </c>
      <c r="R37" s="78">
        <f t="shared" si="1"/>
        <v>0</v>
      </c>
      <c r="S37" s="84">
        <f t="shared" si="2"/>
        <v>0</v>
      </c>
      <c r="T37"/>
      <c r="U37"/>
      <c r="V37"/>
    </row>
    <row r="38" spans="1:22" s="16" customFormat="1" x14ac:dyDescent="0.45">
      <c r="A38"/>
      <c r="B38" s="75"/>
      <c r="C38" s="78"/>
      <c r="D38" s="105"/>
      <c r="E38" s="106"/>
      <c r="F38" s="71"/>
      <c r="G38" s="78">
        <f t="shared" si="12"/>
        <v>0</v>
      </c>
      <c r="H38" s="3">
        <f t="shared" si="3"/>
        <v>0</v>
      </c>
      <c r="I38" s="20">
        <f t="shared" si="4"/>
        <v>0</v>
      </c>
      <c r="J38" s="94">
        <f t="shared" si="5"/>
        <v>0</v>
      </c>
      <c r="K38" s="20">
        <f t="shared" si="6"/>
        <v>0</v>
      </c>
      <c r="L38" s="94">
        <f t="shared" si="7"/>
        <v>0</v>
      </c>
      <c r="M38" s="78">
        <f t="shared" si="8"/>
        <v>0</v>
      </c>
      <c r="N38" s="79">
        <f t="shared" si="9"/>
        <v>0</v>
      </c>
      <c r="O38" s="94">
        <f t="shared" si="10"/>
        <v>0</v>
      </c>
      <c r="P38" s="106">
        <f t="shared" si="11"/>
        <v>0</v>
      </c>
      <c r="Q38" s="94">
        <f t="shared" si="0"/>
        <v>0</v>
      </c>
      <c r="R38" s="78">
        <f t="shared" si="1"/>
        <v>0</v>
      </c>
      <c r="S38" s="84">
        <f t="shared" si="2"/>
        <v>0</v>
      </c>
      <c r="T38"/>
      <c r="U38"/>
      <c r="V38"/>
    </row>
    <row r="39" spans="1:22" s="16" customFormat="1" x14ac:dyDescent="0.45">
      <c r="A39"/>
      <c r="B39" s="75"/>
      <c r="C39" s="78"/>
      <c r="D39" s="105"/>
      <c r="E39" s="106"/>
      <c r="F39" s="71"/>
      <c r="G39" s="78">
        <f t="shared" si="12"/>
        <v>0</v>
      </c>
      <c r="H39" s="3">
        <f t="shared" si="3"/>
        <v>0</v>
      </c>
      <c r="I39" s="20">
        <f t="shared" si="4"/>
        <v>0</v>
      </c>
      <c r="J39" s="94">
        <f t="shared" si="5"/>
        <v>0</v>
      </c>
      <c r="K39" s="20">
        <f t="shared" si="6"/>
        <v>0</v>
      </c>
      <c r="L39" s="94">
        <f t="shared" si="7"/>
        <v>0</v>
      </c>
      <c r="M39" s="78">
        <f t="shared" si="8"/>
        <v>0</v>
      </c>
      <c r="N39" s="79">
        <f t="shared" si="9"/>
        <v>0</v>
      </c>
      <c r="O39" s="94">
        <f t="shared" si="10"/>
        <v>0</v>
      </c>
      <c r="P39" s="106">
        <f t="shared" si="11"/>
        <v>0</v>
      </c>
      <c r="Q39" s="94">
        <f t="shared" si="0"/>
        <v>0</v>
      </c>
      <c r="R39" s="78">
        <f t="shared" si="1"/>
        <v>0</v>
      </c>
      <c r="S39" s="84">
        <f t="shared" si="2"/>
        <v>0</v>
      </c>
      <c r="T39"/>
      <c r="U39"/>
      <c r="V39"/>
    </row>
    <row r="40" spans="1:22" s="16" customFormat="1" x14ac:dyDescent="0.45">
      <c r="A40"/>
      <c r="B40" s="75"/>
      <c r="C40" s="78"/>
      <c r="D40" s="105"/>
      <c r="E40" s="106"/>
      <c r="F40" s="71"/>
      <c r="G40" s="78">
        <f t="shared" si="12"/>
        <v>0</v>
      </c>
      <c r="H40" s="3">
        <f t="shared" si="3"/>
        <v>0</v>
      </c>
      <c r="I40" s="20">
        <f t="shared" si="4"/>
        <v>0</v>
      </c>
      <c r="J40" s="94">
        <f t="shared" si="5"/>
        <v>0</v>
      </c>
      <c r="K40" s="20">
        <f t="shared" si="6"/>
        <v>0</v>
      </c>
      <c r="L40" s="94">
        <f t="shared" si="7"/>
        <v>0</v>
      </c>
      <c r="M40" s="78">
        <f t="shared" si="8"/>
        <v>0</v>
      </c>
      <c r="N40" s="79">
        <f t="shared" si="9"/>
        <v>0</v>
      </c>
      <c r="O40" s="94">
        <f t="shared" si="10"/>
        <v>0</v>
      </c>
      <c r="P40" s="106">
        <f t="shared" si="11"/>
        <v>0</v>
      </c>
      <c r="Q40" s="94">
        <f t="shared" si="0"/>
        <v>0</v>
      </c>
      <c r="R40" s="78">
        <f t="shared" si="1"/>
        <v>0</v>
      </c>
      <c r="S40" s="84">
        <f t="shared" si="2"/>
        <v>0</v>
      </c>
      <c r="T40"/>
      <c r="U40"/>
      <c r="V40"/>
    </row>
    <row r="41" spans="1:22" s="16" customFormat="1" x14ac:dyDescent="0.45">
      <c r="A41"/>
      <c r="B41" s="75"/>
      <c r="C41" s="78"/>
      <c r="D41" s="105"/>
      <c r="E41" s="106"/>
      <c r="F41" s="71"/>
      <c r="G41" s="78">
        <f t="shared" si="12"/>
        <v>0</v>
      </c>
      <c r="H41" s="3">
        <f t="shared" si="3"/>
        <v>0</v>
      </c>
      <c r="I41" s="20">
        <f t="shared" si="4"/>
        <v>0</v>
      </c>
      <c r="J41" s="94">
        <f t="shared" si="5"/>
        <v>0</v>
      </c>
      <c r="K41" s="20">
        <f t="shared" si="6"/>
        <v>0</v>
      </c>
      <c r="L41" s="94">
        <f t="shared" si="7"/>
        <v>0</v>
      </c>
      <c r="M41" s="78">
        <f t="shared" si="8"/>
        <v>0</v>
      </c>
      <c r="N41" s="79">
        <f t="shared" si="9"/>
        <v>0</v>
      </c>
      <c r="O41" s="94">
        <f t="shared" si="10"/>
        <v>0</v>
      </c>
      <c r="P41" s="106">
        <f t="shared" si="11"/>
        <v>0</v>
      </c>
      <c r="Q41" s="94">
        <f t="shared" si="0"/>
        <v>0</v>
      </c>
      <c r="R41" s="78">
        <f t="shared" si="1"/>
        <v>0</v>
      </c>
      <c r="S41" s="84">
        <f t="shared" si="2"/>
        <v>0</v>
      </c>
      <c r="T41"/>
      <c r="U41"/>
      <c r="V41"/>
    </row>
    <row r="42" spans="1:22" s="16" customFormat="1" x14ac:dyDescent="0.45">
      <c r="A42"/>
      <c r="B42" s="75"/>
      <c r="C42" s="78"/>
      <c r="D42" s="105"/>
      <c r="E42" s="106"/>
      <c r="F42" s="71"/>
      <c r="G42" s="78">
        <f t="shared" si="12"/>
        <v>0</v>
      </c>
      <c r="H42" s="3">
        <f t="shared" si="3"/>
        <v>0</v>
      </c>
      <c r="I42" s="20">
        <f t="shared" si="4"/>
        <v>0</v>
      </c>
      <c r="J42" s="94">
        <f t="shared" si="5"/>
        <v>0</v>
      </c>
      <c r="K42" s="20">
        <f t="shared" si="6"/>
        <v>0</v>
      </c>
      <c r="L42" s="94">
        <f t="shared" si="7"/>
        <v>0</v>
      </c>
      <c r="M42" s="78">
        <f t="shared" si="8"/>
        <v>0</v>
      </c>
      <c r="N42" s="79">
        <f t="shared" si="9"/>
        <v>0</v>
      </c>
      <c r="O42" s="94">
        <f t="shared" si="10"/>
        <v>0</v>
      </c>
      <c r="P42" s="106">
        <f t="shared" si="11"/>
        <v>0</v>
      </c>
      <c r="Q42" s="94">
        <f t="shared" si="0"/>
        <v>0</v>
      </c>
      <c r="R42" s="78">
        <f t="shared" si="1"/>
        <v>0</v>
      </c>
      <c r="S42" s="84">
        <f t="shared" si="2"/>
        <v>0</v>
      </c>
      <c r="T42"/>
      <c r="U42"/>
      <c r="V42"/>
    </row>
    <row r="43" spans="1:22" s="16" customFormat="1" x14ac:dyDescent="0.45">
      <c r="A43"/>
      <c r="B43" s="75"/>
      <c r="C43" s="78"/>
      <c r="D43" s="105"/>
      <c r="E43" s="106"/>
      <c r="F43" s="71"/>
      <c r="G43" s="78">
        <f t="shared" si="12"/>
        <v>0</v>
      </c>
      <c r="H43" s="3">
        <f t="shared" si="3"/>
        <v>0</v>
      </c>
      <c r="I43" s="20">
        <f t="shared" si="4"/>
        <v>0</v>
      </c>
      <c r="J43" s="94">
        <f t="shared" si="5"/>
        <v>0</v>
      </c>
      <c r="K43" s="20">
        <f t="shared" si="6"/>
        <v>0</v>
      </c>
      <c r="L43" s="94">
        <f t="shared" si="7"/>
        <v>0</v>
      </c>
      <c r="M43" s="78">
        <f t="shared" si="8"/>
        <v>0</v>
      </c>
      <c r="N43" s="79">
        <f t="shared" si="9"/>
        <v>0</v>
      </c>
      <c r="O43" s="94">
        <f t="shared" si="10"/>
        <v>0</v>
      </c>
      <c r="P43" s="106">
        <f t="shared" si="11"/>
        <v>0</v>
      </c>
      <c r="Q43" s="94">
        <f t="shared" si="0"/>
        <v>0</v>
      </c>
      <c r="R43" s="78">
        <f t="shared" si="1"/>
        <v>0</v>
      </c>
      <c r="S43" s="84">
        <f t="shared" si="2"/>
        <v>0</v>
      </c>
      <c r="T43"/>
      <c r="U43"/>
      <c r="V43"/>
    </row>
    <row r="44" spans="1:22" s="16" customFormat="1" x14ac:dyDescent="0.45">
      <c r="A44"/>
      <c r="B44" s="75"/>
      <c r="C44" s="78"/>
      <c r="D44" s="105"/>
      <c r="E44" s="106"/>
      <c r="F44" s="71"/>
      <c r="G44" s="78">
        <f t="shared" si="12"/>
        <v>0</v>
      </c>
      <c r="H44" s="3">
        <f t="shared" si="3"/>
        <v>0</v>
      </c>
      <c r="I44" s="20">
        <f t="shared" si="4"/>
        <v>0</v>
      </c>
      <c r="J44" s="94">
        <f t="shared" si="5"/>
        <v>0</v>
      </c>
      <c r="K44" s="20">
        <f t="shared" si="6"/>
        <v>0</v>
      </c>
      <c r="L44" s="94">
        <f t="shared" si="7"/>
        <v>0</v>
      </c>
      <c r="M44" s="78">
        <f t="shared" si="8"/>
        <v>0</v>
      </c>
      <c r="N44" s="79">
        <f t="shared" si="9"/>
        <v>0</v>
      </c>
      <c r="O44" s="94">
        <f t="shared" si="10"/>
        <v>0</v>
      </c>
      <c r="P44" s="106">
        <f t="shared" si="11"/>
        <v>0</v>
      </c>
      <c r="Q44" s="94">
        <f t="shared" si="0"/>
        <v>0</v>
      </c>
      <c r="R44" s="78">
        <f t="shared" si="1"/>
        <v>0</v>
      </c>
      <c r="S44" s="84">
        <f t="shared" si="2"/>
        <v>0</v>
      </c>
      <c r="T44"/>
      <c r="U44"/>
      <c r="V44"/>
    </row>
    <row r="45" spans="1:22" s="16" customFormat="1" x14ac:dyDescent="0.45">
      <c r="A45"/>
      <c r="B45" s="75"/>
      <c r="C45" s="78"/>
      <c r="D45" s="105"/>
      <c r="E45" s="106"/>
      <c r="F45" s="71"/>
      <c r="G45" s="78">
        <f t="shared" si="12"/>
        <v>0</v>
      </c>
      <c r="H45" s="3">
        <f t="shared" si="3"/>
        <v>0</v>
      </c>
      <c r="I45" s="20">
        <f t="shared" si="4"/>
        <v>0</v>
      </c>
      <c r="J45" s="94">
        <f t="shared" si="5"/>
        <v>0</v>
      </c>
      <c r="K45" s="20">
        <f t="shared" si="6"/>
        <v>0</v>
      </c>
      <c r="L45" s="94">
        <f t="shared" si="7"/>
        <v>0</v>
      </c>
      <c r="M45" s="78">
        <f t="shared" si="8"/>
        <v>0</v>
      </c>
      <c r="N45" s="79">
        <f t="shared" si="9"/>
        <v>0</v>
      </c>
      <c r="O45" s="94">
        <f t="shared" si="10"/>
        <v>0</v>
      </c>
      <c r="P45" s="106">
        <f t="shared" si="11"/>
        <v>0</v>
      </c>
      <c r="Q45" s="94">
        <f t="shared" si="0"/>
        <v>0</v>
      </c>
      <c r="R45" s="78">
        <f t="shared" si="1"/>
        <v>0</v>
      </c>
      <c r="S45" s="84">
        <f t="shared" si="2"/>
        <v>0</v>
      </c>
      <c r="T45"/>
      <c r="U45"/>
      <c r="V45"/>
    </row>
    <row r="46" spans="1:22" s="16" customFormat="1" x14ac:dyDescent="0.45">
      <c r="A46"/>
      <c r="B46" s="75"/>
      <c r="C46" s="78"/>
      <c r="D46" s="105"/>
      <c r="E46" s="106"/>
      <c r="F46" s="71"/>
      <c r="G46" s="78">
        <f t="shared" si="12"/>
        <v>0</v>
      </c>
      <c r="H46" s="3">
        <f t="shared" si="3"/>
        <v>0</v>
      </c>
      <c r="I46" s="20">
        <f t="shared" si="4"/>
        <v>0</v>
      </c>
      <c r="J46" s="94">
        <f t="shared" si="5"/>
        <v>0</v>
      </c>
      <c r="K46" s="20">
        <f t="shared" si="6"/>
        <v>0</v>
      </c>
      <c r="L46" s="94">
        <f t="shared" si="7"/>
        <v>0</v>
      </c>
      <c r="M46" s="78">
        <f t="shared" si="8"/>
        <v>0</v>
      </c>
      <c r="N46" s="79">
        <f t="shared" si="9"/>
        <v>0</v>
      </c>
      <c r="O46" s="94">
        <f t="shared" si="10"/>
        <v>0</v>
      </c>
      <c r="P46" s="106">
        <f t="shared" si="11"/>
        <v>0</v>
      </c>
      <c r="Q46" s="94">
        <f t="shared" si="0"/>
        <v>0</v>
      </c>
      <c r="R46" s="78">
        <f t="shared" si="1"/>
        <v>0</v>
      </c>
      <c r="S46" s="84">
        <f t="shared" si="2"/>
        <v>0</v>
      </c>
      <c r="T46"/>
      <c r="U46"/>
      <c r="V46"/>
    </row>
    <row r="47" spans="1:22" s="16" customFormat="1" x14ac:dyDescent="0.45">
      <c r="A47"/>
      <c r="B47" s="75"/>
      <c r="C47" s="78"/>
      <c r="D47" s="105"/>
      <c r="E47" s="106"/>
      <c r="F47" s="71"/>
      <c r="G47" s="78">
        <f t="shared" si="12"/>
        <v>0</v>
      </c>
      <c r="H47" s="3">
        <f t="shared" si="3"/>
        <v>0</v>
      </c>
      <c r="I47" s="20">
        <f t="shared" si="4"/>
        <v>0</v>
      </c>
      <c r="J47" s="94">
        <f t="shared" si="5"/>
        <v>0</v>
      </c>
      <c r="K47" s="20">
        <f t="shared" si="6"/>
        <v>0</v>
      </c>
      <c r="L47" s="94">
        <f t="shared" si="7"/>
        <v>0</v>
      </c>
      <c r="M47" s="78">
        <f t="shared" si="8"/>
        <v>0</v>
      </c>
      <c r="N47" s="79">
        <f t="shared" si="9"/>
        <v>0</v>
      </c>
      <c r="O47" s="94">
        <f t="shared" si="10"/>
        <v>0</v>
      </c>
      <c r="P47" s="106">
        <f t="shared" si="11"/>
        <v>0</v>
      </c>
      <c r="Q47" s="94">
        <f t="shared" si="0"/>
        <v>0</v>
      </c>
      <c r="R47" s="78">
        <f t="shared" si="1"/>
        <v>0</v>
      </c>
      <c r="S47" s="84">
        <f t="shared" si="2"/>
        <v>0</v>
      </c>
      <c r="T47"/>
      <c r="U47"/>
      <c r="V47"/>
    </row>
    <row r="48" spans="1:22" s="16" customFormat="1" x14ac:dyDescent="0.45">
      <c r="A48"/>
      <c r="B48" s="75"/>
      <c r="C48" s="78"/>
      <c r="D48" s="105"/>
      <c r="E48" s="106"/>
      <c r="F48" s="71"/>
      <c r="G48" s="78">
        <f t="shared" si="12"/>
        <v>0</v>
      </c>
      <c r="H48" s="3">
        <f t="shared" si="3"/>
        <v>0</v>
      </c>
      <c r="I48" s="20">
        <f t="shared" si="4"/>
        <v>0</v>
      </c>
      <c r="J48" s="94">
        <f t="shared" si="5"/>
        <v>0</v>
      </c>
      <c r="K48" s="20">
        <f t="shared" si="6"/>
        <v>0</v>
      </c>
      <c r="L48" s="94">
        <f t="shared" si="7"/>
        <v>0</v>
      </c>
      <c r="M48" s="78">
        <f t="shared" si="8"/>
        <v>0</v>
      </c>
      <c r="N48" s="79">
        <f t="shared" si="9"/>
        <v>0</v>
      </c>
      <c r="O48" s="94">
        <f t="shared" si="10"/>
        <v>0</v>
      </c>
      <c r="P48" s="106">
        <f t="shared" si="11"/>
        <v>0</v>
      </c>
      <c r="Q48" s="94">
        <f t="shared" si="0"/>
        <v>0</v>
      </c>
      <c r="R48" s="78">
        <f t="shared" si="1"/>
        <v>0</v>
      </c>
      <c r="S48" s="84">
        <f t="shared" si="2"/>
        <v>0</v>
      </c>
      <c r="T48"/>
      <c r="U48"/>
      <c r="V48"/>
    </row>
    <row r="49" spans="1:22" s="16" customFormat="1" x14ac:dyDescent="0.45">
      <c r="A49"/>
      <c r="B49" s="75"/>
      <c r="C49" s="78"/>
      <c r="D49" s="105"/>
      <c r="E49" s="106"/>
      <c r="F49" s="71"/>
      <c r="G49" s="78">
        <f t="shared" si="12"/>
        <v>0</v>
      </c>
      <c r="H49" s="3">
        <f t="shared" si="3"/>
        <v>0</v>
      </c>
      <c r="I49" s="20">
        <f t="shared" si="4"/>
        <v>0</v>
      </c>
      <c r="J49" s="94">
        <f t="shared" si="5"/>
        <v>0</v>
      </c>
      <c r="K49" s="20">
        <f t="shared" si="6"/>
        <v>0</v>
      </c>
      <c r="L49" s="94">
        <f t="shared" si="7"/>
        <v>0</v>
      </c>
      <c r="M49" s="78">
        <f t="shared" si="8"/>
        <v>0</v>
      </c>
      <c r="N49" s="79">
        <f t="shared" si="9"/>
        <v>0</v>
      </c>
      <c r="O49" s="94">
        <f t="shared" si="10"/>
        <v>0</v>
      </c>
      <c r="P49" s="106">
        <f t="shared" si="11"/>
        <v>0</v>
      </c>
      <c r="Q49" s="94">
        <f t="shared" si="0"/>
        <v>0</v>
      </c>
      <c r="R49" s="78">
        <f t="shared" si="1"/>
        <v>0</v>
      </c>
      <c r="S49" s="84">
        <f t="shared" si="2"/>
        <v>0</v>
      </c>
      <c r="T49"/>
      <c r="U49"/>
      <c r="V49"/>
    </row>
    <row r="50" spans="1:22" s="16" customFormat="1" x14ac:dyDescent="0.45">
      <c r="A50"/>
      <c r="B50" s="75"/>
      <c r="C50" s="78"/>
      <c r="D50" s="105"/>
      <c r="E50" s="106"/>
      <c r="F50" s="71"/>
      <c r="G50" s="78">
        <f t="shared" si="12"/>
        <v>0</v>
      </c>
      <c r="H50" s="3">
        <f t="shared" si="3"/>
        <v>0</v>
      </c>
      <c r="I50" s="20">
        <f t="shared" si="4"/>
        <v>0</v>
      </c>
      <c r="J50" s="94">
        <f t="shared" si="5"/>
        <v>0</v>
      </c>
      <c r="K50" s="20">
        <f t="shared" si="6"/>
        <v>0</v>
      </c>
      <c r="L50" s="94">
        <f t="shared" si="7"/>
        <v>0</v>
      </c>
      <c r="M50" s="78">
        <f t="shared" si="8"/>
        <v>0</v>
      </c>
      <c r="N50" s="79">
        <f t="shared" si="9"/>
        <v>0</v>
      </c>
      <c r="O50" s="94">
        <f t="shared" si="10"/>
        <v>0</v>
      </c>
      <c r="P50" s="106">
        <f t="shared" si="11"/>
        <v>0</v>
      </c>
      <c r="Q50" s="94">
        <f t="shared" si="0"/>
        <v>0</v>
      </c>
      <c r="R50" s="78">
        <f t="shared" si="1"/>
        <v>0</v>
      </c>
      <c r="S50" s="84">
        <f t="shared" si="2"/>
        <v>0</v>
      </c>
      <c r="T50"/>
      <c r="U50"/>
      <c r="V50"/>
    </row>
    <row r="51" spans="1:22" s="16" customFormat="1" x14ac:dyDescent="0.45">
      <c r="A51"/>
      <c r="B51" s="75"/>
      <c r="C51" s="78"/>
      <c r="D51" s="105"/>
      <c r="E51" s="106"/>
      <c r="F51" s="71"/>
      <c r="G51" s="78">
        <f t="shared" si="12"/>
        <v>0</v>
      </c>
      <c r="H51" s="3">
        <f t="shared" si="3"/>
        <v>0</v>
      </c>
      <c r="I51" s="20">
        <f t="shared" si="4"/>
        <v>0</v>
      </c>
      <c r="J51" s="94">
        <f t="shared" si="5"/>
        <v>0</v>
      </c>
      <c r="K51" s="20">
        <f t="shared" si="6"/>
        <v>0</v>
      </c>
      <c r="L51" s="94">
        <f t="shared" si="7"/>
        <v>0</v>
      </c>
      <c r="M51" s="78">
        <f t="shared" si="8"/>
        <v>0</v>
      </c>
      <c r="N51" s="79">
        <f t="shared" si="9"/>
        <v>0</v>
      </c>
      <c r="O51" s="94">
        <f t="shared" si="10"/>
        <v>0</v>
      </c>
      <c r="P51" s="106">
        <f t="shared" si="11"/>
        <v>0</v>
      </c>
      <c r="Q51" s="94">
        <f t="shared" si="0"/>
        <v>0</v>
      </c>
      <c r="R51" s="78">
        <f t="shared" si="1"/>
        <v>0</v>
      </c>
      <c r="S51" s="84">
        <f t="shared" si="2"/>
        <v>0</v>
      </c>
      <c r="T51"/>
      <c r="U51"/>
      <c r="V51"/>
    </row>
    <row r="52" spans="1:22" s="16" customFormat="1" x14ac:dyDescent="0.45">
      <c r="A52"/>
      <c r="B52" s="75"/>
      <c r="C52" s="78"/>
      <c r="D52" s="105"/>
      <c r="E52" s="106"/>
      <c r="F52" s="71"/>
      <c r="G52" s="78">
        <f t="shared" si="12"/>
        <v>0</v>
      </c>
      <c r="H52" s="3">
        <f t="shared" si="3"/>
        <v>0</v>
      </c>
      <c r="I52" s="20">
        <f t="shared" si="4"/>
        <v>0</v>
      </c>
      <c r="J52" s="94">
        <f t="shared" si="5"/>
        <v>0</v>
      </c>
      <c r="K52" s="20">
        <f t="shared" si="6"/>
        <v>0</v>
      </c>
      <c r="L52" s="94">
        <f t="shared" si="7"/>
        <v>0</v>
      </c>
      <c r="M52" s="78">
        <f t="shared" si="8"/>
        <v>0</v>
      </c>
      <c r="N52" s="79">
        <f t="shared" si="9"/>
        <v>0</v>
      </c>
      <c r="O52" s="94">
        <f t="shared" si="10"/>
        <v>0</v>
      </c>
      <c r="P52" s="106">
        <f t="shared" si="11"/>
        <v>0</v>
      </c>
      <c r="Q52" s="94">
        <f t="shared" si="0"/>
        <v>0</v>
      </c>
      <c r="R52" s="78">
        <f t="shared" si="1"/>
        <v>0</v>
      </c>
      <c r="S52" s="84">
        <f t="shared" si="2"/>
        <v>0</v>
      </c>
      <c r="T52"/>
      <c r="U52"/>
      <c r="V52"/>
    </row>
    <row r="53" spans="1:22" s="16" customFormat="1" x14ac:dyDescent="0.45">
      <c r="A53"/>
      <c r="B53" s="75"/>
      <c r="C53" s="78"/>
      <c r="D53" s="105"/>
      <c r="E53" s="106"/>
      <c r="F53" s="71"/>
      <c r="G53" s="78">
        <f t="shared" si="12"/>
        <v>0</v>
      </c>
      <c r="H53" s="3">
        <f t="shared" si="3"/>
        <v>0</v>
      </c>
      <c r="I53" s="20">
        <f t="shared" si="4"/>
        <v>0</v>
      </c>
      <c r="J53" s="94">
        <f t="shared" si="5"/>
        <v>0</v>
      </c>
      <c r="K53" s="20">
        <f t="shared" si="6"/>
        <v>0</v>
      </c>
      <c r="L53" s="94">
        <f t="shared" si="7"/>
        <v>0</v>
      </c>
      <c r="M53" s="78">
        <f t="shared" si="8"/>
        <v>0</v>
      </c>
      <c r="N53" s="79">
        <f t="shared" si="9"/>
        <v>0</v>
      </c>
      <c r="O53" s="94">
        <f t="shared" si="10"/>
        <v>0</v>
      </c>
      <c r="P53" s="106">
        <f t="shared" si="11"/>
        <v>0</v>
      </c>
      <c r="Q53" s="94">
        <f t="shared" si="0"/>
        <v>0</v>
      </c>
      <c r="R53" s="78">
        <f t="shared" si="1"/>
        <v>0</v>
      </c>
      <c r="S53" s="84">
        <f t="shared" si="2"/>
        <v>0</v>
      </c>
      <c r="T53"/>
      <c r="U53"/>
      <c r="V53"/>
    </row>
    <row r="54" spans="1:22" s="16" customFormat="1" x14ac:dyDescent="0.45">
      <c r="A54"/>
      <c r="B54" s="75"/>
      <c r="C54" s="78"/>
      <c r="D54" s="105"/>
      <c r="E54" s="106"/>
      <c r="F54" s="71"/>
      <c r="G54" s="78">
        <f t="shared" si="12"/>
        <v>0</v>
      </c>
      <c r="H54" s="3">
        <f t="shared" si="3"/>
        <v>0</v>
      </c>
      <c r="I54" s="20">
        <f t="shared" si="4"/>
        <v>0</v>
      </c>
      <c r="J54" s="94">
        <f t="shared" si="5"/>
        <v>0</v>
      </c>
      <c r="K54" s="20">
        <f t="shared" si="6"/>
        <v>0</v>
      </c>
      <c r="L54" s="94">
        <f t="shared" si="7"/>
        <v>0</v>
      </c>
      <c r="M54" s="78">
        <f t="shared" si="8"/>
        <v>0</v>
      </c>
      <c r="N54" s="79">
        <f t="shared" si="9"/>
        <v>0</v>
      </c>
      <c r="O54" s="94">
        <f t="shared" si="10"/>
        <v>0</v>
      </c>
      <c r="P54" s="106">
        <f t="shared" si="11"/>
        <v>0</v>
      </c>
      <c r="Q54" s="94">
        <f t="shared" si="0"/>
        <v>0</v>
      </c>
      <c r="R54" s="78">
        <f t="shared" si="1"/>
        <v>0</v>
      </c>
      <c r="S54" s="84">
        <f t="shared" si="2"/>
        <v>0</v>
      </c>
      <c r="T54"/>
      <c r="U54"/>
      <c r="V54"/>
    </row>
    <row r="55" spans="1:22" s="16" customFormat="1" x14ac:dyDescent="0.45">
      <c r="A55"/>
      <c r="B55" s="75"/>
      <c r="C55" s="78"/>
      <c r="D55" s="105"/>
      <c r="E55" s="106"/>
      <c r="F55" s="71"/>
      <c r="G55" s="78">
        <f t="shared" si="12"/>
        <v>0</v>
      </c>
      <c r="H55" s="3">
        <f t="shared" si="3"/>
        <v>0</v>
      </c>
      <c r="I55" s="20">
        <f t="shared" si="4"/>
        <v>0</v>
      </c>
      <c r="J55" s="94">
        <f t="shared" si="5"/>
        <v>0</v>
      </c>
      <c r="K55" s="20">
        <f t="shared" si="6"/>
        <v>0</v>
      </c>
      <c r="L55" s="94">
        <f t="shared" si="7"/>
        <v>0</v>
      </c>
      <c r="M55" s="78">
        <f t="shared" si="8"/>
        <v>0</v>
      </c>
      <c r="N55" s="79">
        <f t="shared" si="9"/>
        <v>0</v>
      </c>
      <c r="O55" s="94">
        <f t="shared" si="10"/>
        <v>0</v>
      </c>
      <c r="P55" s="106">
        <f t="shared" si="11"/>
        <v>0</v>
      </c>
      <c r="Q55" s="94">
        <f t="shared" si="0"/>
        <v>0</v>
      </c>
      <c r="R55" s="78">
        <f t="shared" si="1"/>
        <v>0</v>
      </c>
      <c r="S55" s="84">
        <f t="shared" si="2"/>
        <v>0</v>
      </c>
      <c r="T55"/>
      <c r="U55"/>
      <c r="V55"/>
    </row>
    <row r="56" spans="1:22" s="16" customFormat="1" x14ac:dyDescent="0.45">
      <c r="A56"/>
      <c r="B56" s="75"/>
      <c r="C56" s="78"/>
      <c r="D56" s="105"/>
      <c r="E56" s="106"/>
      <c r="F56" s="71"/>
      <c r="G56" s="78">
        <f t="shared" si="12"/>
        <v>0</v>
      </c>
      <c r="H56" s="3">
        <f t="shared" si="3"/>
        <v>0</v>
      </c>
      <c r="I56" s="20">
        <f t="shared" si="4"/>
        <v>0</v>
      </c>
      <c r="J56" s="94">
        <f t="shared" si="5"/>
        <v>0</v>
      </c>
      <c r="K56" s="20">
        <f t="shared" si="6"/>
        <v>0</v>
      </c>
      <c r="L56" s="94">
        <f t="shared" si="7"/>
        <v>0</v>
      </c>
      <c r="M56" s="78">
        <f t="shared" si="8"/>
        <v>0</v>
      </c>
      <c r="N56" s="79">
        <f t="shared" si="9"/>
        <v>0</v>
      </c>
      <c r="O56" s="94">
        <f t="shared" si="10"/>
        <v>0</v>
      </c>
      <c r="P56" s="106">
        <f t="shared" si="11"/>
        <v>0</v>
      </c>
      <c r="Q56" s="94">
        <f t="shared" si="0"/>
        <v>0</v>
      </c>
      <c r="R56" s="78">
        <f t="shared" si="1"/>
        <v>0</v>
      </c>
      <c r="S56" s="84">
        <f t="shared" si="2"/>
        <v>0</v>
      </c>
      <c r="T56"/>
      <c r="U56"/>
      <c r="V56"/>
    </row>
    <row r="57" spans="1:22" s="16" customFormat="1" x14ac:dyDescent="0.45">
      <c r="A57"/>
      <c r="B57" s="75"/>
      <c r="C57" s="78"/>
      <c r="D57" s="105"/>
      <c r="E57" s="106"/>
      <c r="F57" s="71"/>
      <c r="G57" s="78">
        <f t="shared" si="12"/>
        <v>0</v>
      </c>
      <c r="H57" s="3">
        <f t="shared" si="3"/>
        <v>0</v>
      </c>
      <c r="I57" s="20">
        <f t="shared" si="4"/>
        <v>0</v>
      </c>
      <c r="J57" s="94">
        <f t="shared" si="5"/>
        <v>0</v>
      </c>
      <c r="K57" s="20">
        <f t="shared" si="6"/>
        <v>0</v>
      </c>
      <c r="L57" s="94">
        <f t="shared" si="7"/>
        <v>0</v>
      </c>
      <c r="M57" s="78">
        <f t="shared" si="8"/>
        <v>0</v>
      </c>
      <c r="N57" s="79">
        <f t="shared" si="9"/>
        <v>0</v>
      </c>
      <c r="O57" s="94">
        <f t="shared" si="10"/>
        <v>0</v>
      </c>
      <c r="P57" s="106">
        <f t="shared" si="11"/>
        <v>0</v>
      </c>
      <c r="Q57" s="94">
        <f t="shared" si="0"/>
        <v>0</v>
      </c>
      <c r="R57" s="78">
        <f t="shared" si="1"/>
        <v>0</v>
      </c>
      <c r="S57" s="84">
        <f t="shared" si="2"/>
        <v>0</v>
      </c>
      <c r="T57"/>
      <c r="U57"/>
      <c r="V57"/>
    </row>
    <row r="58" spans="1:22" s="16" customFormat="1" x14ac:dyDescent="0.45">
      <c r="A58"/>
      <c r="B58" s="75"/>
      <c r="C58" s="78"/>
      <c r="D58" s="105"/>
      <c r="E58" s="106"/>
      <c r="F58" s="71"/>
      <c r="G58" s="78">
        <f t="shared" si="12"/>
        <v>0</v>
      </c>
      <c r="H58" s="3">
        <f t="shared" si="3"/>
        <v>0</v>
      </c>
      <c r="I58" s="20">
        <f t="shared" si="4"/>
        <v>0</v>
      </c>
      <c r="J58" s="94">
        <f t="shared" si="5"/>
        <v>0</v>
      </c>
      <c r="K58" s="20">
        <f t="shared" si="6"/>
        <v>0</v>
      </c>
      <c r="L58" s="94">
        <f t="shared" si="7"/>
        <v>0</v>
      </c>
      <c r="M58" s="78">
        <f t="shared" si="8"/>
        <v>0</v>
      </c>
      <c r="N58" s="79">
        <f t="shared" si="9"/>
        <v>0</v>
      </c>
      <c r="O58" s="94">
        <f t="shared" si="10"/>
        <v>0</v>
      </c>
      <c r="P58" s="106">
        <f t="shared" si="11"/>
        <v>0</v>
      </c>
      <c r="Q58" s="94">
        <f t="shared" si="0"/>
        <v>0</v>
      </c>
      <c r="R58" s="78">
        <f t="shared" si="1"/>
        <v>0</v>
      </c>
      <c r="S58" s="84">
        <f t="shared" si="2"/>
        <v>0</v>
      </c>
      <c r="T58"/>
      <c r="U58"/>
      <c r="V58"/>
    </row>
    <row r="59" spans="1:22" s="16" customFormat="1" x14ac:dyDescent="0.45">
      <c r="A59"/>
      <c r="B59" s="75"/>
      <c r="C59" s="78"/>
      <c r="D59" s="105"/>
      <c r="E59" s="106"/>
      <c r="F59" s="71"/>
      <c r="G59" s="78">
        <f t="shared" si="12"/>
        <v>0</v>
      </c>
      <c r="H59" s="3">
        <f t="shared" si="3"/>
        <v>0</v>
      </c>
      <c r="I59" s="20">
        <f t="shared" si="4"/>
        <v>0</v>
      </c>
      <c r="J59" s="94">
        <f t="shared" si="5"/>
        <v>0</v>
      </c>
      <c r="K59" s="20">
        <f t="shared" si="6"/>
        <v>0</v>
      </c>
      <c r="L59" s="94">
        <f t="shared" si="7"/>
        <v>0</v>
      </c>
      <c r="M59" s="78">
        <f t="shared" si="8"/>
        <v>0</v>
      </c>
      <c r="N59" s="79">
        <f t="shared" si="9"/>
        <v>0</v>
      </c>
      <c r="O59" s="94">
        <f t="shared" si="10"/>
        <v>0</v>
      </c>
      <c r="P59" s="106">
        <f t="shared" si="11"/>
        <v>0</v>
      </c>
      <c r="Q59" s="94">
        <f t="shared" si="0"/>
        <v>0</v>
      </c>
      <c r="R59" s="78">
        <f t="shared" si="1"/>
        <v>0</v>
      </c>
      <c r="S59" s="84">
        <f t="shared" si="2"/>
        <v>0</v>
      </c>
      <c r="T59"/>
      <c r="U59"/>
      <c r="V59"/>
    </row>
    <row r="60" spans="1:22" s="16" customFormat="1" x14ac:dyDescent="0.45">
      <c r="A60"/>
      <c r="B60" s="75"/>
      <c r="C60" s="78"/>
      <c r="D60" s="105"/>
      <c r="E60" s="106"/>
      <c r="F60" s="71"/>
      <c r="G60" s="78">
        <f t="shared" si="12"/>
        <v>0</v>
      </c>
      <c r="H60" s="3">
        <f t="shared" si="3"/>
        <v>0</v>
      </c>
      <c r="I60" s="20">
        <f t="shared" si="4"/>
        <v>0</v>
      </c>
      <c r="J60" s="94">
        <f t="shared" si="5"/>
        <v>0</v>
      </c>
      <c r="K60" s="20">
        <f t="shared" si="6"/>
        <v>0</v>
      </c>
      <c r="L60" s="94">
        <f t="shared" si="7"/>
        <v>0</v>
      </c>
      <c r="M60" s="78">
        <f t="shared" si="8"/>
        <v>0</v>
      </c>
      <c r="N60" s="79">
        <f t="shared" si="9"/>
        <v>0</v>
      </c>
      <c r="O60" s="94">
        <f t="shared" si="10"/>
        <v>0</v>
      </c>
      <c r="P60" s="106">
        <f t="shared" si="11"/>
        <v>0</v>
      </c>
      <c r="Q60" s="94">
        <f t="shared" si="0"/>
        <v>0</v>
      </c>
      <c r="R60" s="78">
        <f t="shared" si="1"/>
        <v>0</v>
      </c>
      <c r="S60" s="84">
        <f t="shared" si="2"/>
        <v>0</v>
      </c>
      <c r="T60"/>
      <c r="U60"/>
      <c r="V60"/>
    </row>
    <row r="61" spans="1:22" s="16" customFormat="1" x14ac:dyDescent="0.45">
      <c r="A61"/>
      <c r="B61" s="75"/>
      <c r="C61" s="78"/>
      <c r="D61" s="105"/>
      <c r="E61" s="106"/>
      <c r="F61" s="71"/>
      <c r="G61" s="78">
        <f t="shared" si="12"/>
        <v>0</v>
      </c>
      <c r="H61" s="3">
        <f t="shared" si="3"/>
        <v>0</v>
      </c>
      <c r="I61" s="20">
        <f t="shared" si="4"/>
        <v>0</v>
      </c>
      <c r="J61" s="94">
        <f t="shared" si="5"/>
        <v>0</v>
      </c>
      <c r="K61" s="20">
        <f t="shared" si="6"/>
        <v>0</v>
      </c>
      <c r="L61" s="94">
        <f t="shared" si="7"/>
        <v>0</v>
      </c>
      <c r="M61" s="78">
        <f t="shared" si="8"/>
        <v>0</v>
      </c>
      <c r="N61" s="79">
        <f t="shared" si="9"/>
        <v>0</v>
      </c>
      <c r="O61" s="94">
        <f t="shared" si="10"/>
        <v>0</v>
      </c>
      <c r="P61" s="106">
        <f t="shared" si="11"/>
        <v>0</v>
      </c>
      <c r="Q61" s="94">
        <f t="shared" si="0"/>
        <v>0</v>
      </c>
      <c r="R61" s="78">
        <f t="shared" si="1"/>
        <v>0</v>
      </c>
      <c r="S61" s="84">
        <f t="shared" si="2"/>
        <v>0</v>
      </c>
      <c r="T61"/>
      <c r="U61"/>
      <c r="V61"/>
    </row>
    <row r="62" spans="1:22" s="16" customFormat="1" x14ac:dyDescent="0.45">
      <c r="A62"/>
      <c r="B62" s="75"/>
      <c r="C62" s="78"/>
      <c r="D62" s="105"/>
      <c r="E62" s="106"/>
      <c r="F62" s="71"/>
      <c r="G62" s="78">
        <f t="shared" si="12"/>
        <v>0</v>
      </c>
      <c r="H62" s="3">
        <f t="shared" si="3"/>
        <v>0</v>
      </c>
      <c r="I62" s="20">
        <f t="shared" si="4"/>
        <v>0</v>
      </c>
      <c r="J62" s="94">
        <f t="shared" si="5"/>
        <v>0</v>
      </c>
      <c r="K62" s="20">
        <f t="shared" si="6"/>
        <v>0</v>
      </c>
      <c r="L62" s="94">
        <f t="shared" si="7"/>
        <v>0</v>
      </c>
      <c r="M62" s="78">
        <f t="shared" si="8"/>
        <v>0</v>
      </c>
      <c r="N62" s="79">
        <f t="shared" si="9"/>
        <v>0</v>
      </c>
      <c r="O62" s="94">
        <f t="shared" si="10"/>
        <v>0</v>
      </c>
      <c r="P62" s="106">
        <f t="shared" si="11"/>
        <v>0</v>
      </c>
      <c r="Q62" s="94">
        <f t="shared" si="0"/>
        <v>0</v>
      </c>
      <c r="R62" s="78">
        <f t="shared" si="1"/>
        <v>0</v>
      </c>
      <c r="S62" s="84">
        <f t="shared" si="2"/>
        <v>0</v>
      </c>
      <c r="T62"/>
      <c r="U62"/>
      <c r="V62"/>
    </row>
    <row r="63" spans="1:22" s="16" customFormat="1" x14ac:dyDescent="0.45">
      <c r="A63"/>
      <c r="B63" s="75"/>
      <c r="C63" s="78"/>
      <c r="D63" s="105"/>
      <c r="E63" s="106"/>
      <c r="F63" s="71"/>
      <c r="G63" s="78">
        <f t="shared" si="12"/>
        <v>0</v>
      </c>
      <c r="H63" s="3">
        <f t="shared" si="3"/>
        <v>0</v>
      </c>
      <c r="I63" s="20">
        <f t="shared" si="4"/>
        <v>0</v>
      </c>
      <c r="J63" s="94">
        <f t="shared" si="5"/>
        <v>0</v>
      </c>
      <c r="K63" s="20">
        <f t="shared" si="6"/>
        <v>0</v>
      </c>
      <c r="L63" s="94">
        <f t="shared" si="7"/>
        <v>0</v>
      </c>
      <c r="M63" s="78">
        <f t="shared" si="8"/>
        <v>0</v>
      </c>
      <c r="N63" s="79">
        <f t="shared" si="9"/>
        <v>0</v>
      </c>
      <c r="O63" s="94">
        <f t="shared" si="10"/>
        <v>0</v>
      </c>
      <c r="P63" s="106">
        <f t="shared" si="11"/>
        <v>0</v>
      </c>
      <c r="Q63" s="94">
        <f t="shared" si="0"/>
        <v>0</v>
      </c>
      <c r="R63" s="78">
        <f t="shared" si="1"/>
        <v>0</v>
      </c>
      <c r="S63" s="84">
        <f t="shared" si="2"/>
        <v>0</v>
      </c>
      <c r="T63"/>
      <c r="U63"/>
      <c r="V63"/>
    </row>
    <row r="64" spans="1:22" s="16" customFormat="1" ht="15" customHeight="1" outlineLevel="1" x14ac:dyDescent="0.45">
      <c r="A64"/>
      <c r="B64" s="75"/>
      <c r="C64" s="78"/>
      <c r="D64" s="105"/>
      <c r="E64" s="106"/>
      <c r="F64" s="71"/>
      <c r="G64" s="78">
        <f t="shared" si="12"/>
        <v>0</v>
      </c>
      <c r="H64" s="3">
        <f t="shared" si="3"/>
        <v>0</v>
      </c>
      <c r="I64" s="20">
        <f t="shared" si="4"/>
        <v>0</v>
      </c>
      <c r="J64" s="94">
        <f t="shared" si="5"/>
        <v>0</v>
      </c>
      <c r="K64" s="20">
        <f t="shared" si="6"/>
        <v>0</v>
      </c>
      <c r="L64" s="94">
        <f t="shared" si="7"/>
        <v>0</v>
      </c>
      <c r="M64" s="78">
        <f t="shared" si="8"/>
        <v>0</v>
      </c>
      <c r="N64" s="79">
        <f t="shared" si="9"/>
        <v>0</v>
      </c>
      <c r="O64" s="94">
        <f t="shared" si="10"/>
        <v>0</v>
      </c>
      <c r="P64" s="106">
        <f t="shared" si="11"/>
        <v>0</v>
      </c>
      <c r="Q64" s="94">
        <f t="shared" si="0"/>
        <v>0</v>
      </c>
      <c r="R64" s="78">
        <f t="shared" si="1"/>
        <v>0</v>
      </c>
      <c r="S64" s="84">
        <f t="shared" si="2"/>
        <v>0</v>
      </c>
      <c r="T64"/>
      <c r="U64"/>
      <c r="V64"/>
    </row>
    <row r="65" spans="1:22" s="16" customFormat="1" ht="15" customHeight="1" outlineLevel="1" x14ac:dyDescent="0.45">
      <c r="A65"/>
      <c r="B65" s="75"/>
      <c r="C65" s="78"/>
      <c r="D65" s="105"/>
      <c r="E65" s="106"/>
      <c r="F65" s="71"/>
      <c r="G65" s="78">
        <f t="shared" si="12"/>
        <v>0</v>
      </c>
      <c r="H65" s="3">
        <f t="shared" si="3"/>
        <v>0</v>
      </c>
      <c r="I65" s="20">
        <f t="shared" si="4"/>
        <v>0</v>
      </c>
      <c r="J65" s="94">
        <f t="shared" si="5"/>
        <v>0</v>
      </c>
      <c r="K65" s="20">
        <f t="shared" si="6"/>
        <v>0</v>
      </c>
      <c r="L65" s="94">
        <f t="shared" si="7"/>
        <v>0</v>
      </c>
      <c r="M65" s="78">
        <f t="shared" si="8"/>
        <v>0</v>
      </c>
      <c r="N65" s="79">
        <f t="shared" si="9"/>
        <v>0</v>
      </c>
      <c r="O65" s="94">
        <f t="shared" si="10"/>
        <v>0</v>
      </c>
      <c r="P65" s="106">
        <f t="shared" si="11"/>
        <v>0</v>
      </c>
      <c r="Q65" s="94">
        <f t="shared" si="0"/>
        <v>0</v>
      </c>
      <c r="R65" s="78">
        <f t="shared" si="1"/>
        <v>0</v>
      </c>
      <c r="S65" s="84">
        <f t="shared" si="2"/>
        <v>0</v>
      </c>
      <c r="T65"/>
      <c r="U65"/>
      <c r="V65"/>
    </row>
    <row r="66" spans="1:22" s="16" customFormat="1" ht="15" customHeight="1" outlineLevel="1" x14ac:dyDescent="0.45">
      <c r="A66"/>
      <c r="B66" s="75"/>
      <c r="C66" s="78"/>
      <c r="D66" s="105"/>
      <c r="E66" s="106"/>
      <c r="F66" s="71"/>
      <c r="G66" s="78">
        <f t="shared" si="12"/>
        <v>0</v>
      </c>
      <c r="H66" s="3">
        <f t="shared" si="3"/>
        <v>0</v>
      </c>
      <c r="I66" s="20">
        <f t="shared" si="4"/>
        <v>0</v>
      </c>
      <c r="J66" s="94">
        <f t="shared" si="5"/>
        <v>0</v>
      </c>
      <c r="K66" s="20">
        <f t="shared" si="6"/>
        <v>0</v>
      </c>
      <c r="L66" s="94">
        <f t="shared" si="7"/>
        <v>0</v>
      </c>
      <c r="M66" s="78">
        <f t="shared" si="8"/>
        <v>0</v>
      </c>
      <c r="N66" s="79">
        <f t="shared" si="9"/>
        <v>0</v>
      </c>
      <c r="O66" s="94">
        <f t="shared" si="10"/>
        <v>0</v>
      </c>
      <c r="P66" s="106">
        <f t="shared" si="11"/>
        <v>0</v>
      </c>
      <c r="Q66" s="94">
        <f t="shared" si="0"/>
        <v>0</v>
      </c>
      <c r="R66" s="78">
        <f t="shared" si="1"/>
        <v>0</v>
      </c>
      <c r="S66" s="84">
        <f t="shared" si="2"/>
        <v>0</v>
      </c>
      <c r="T66"/>
      <c r="U66"/>
      <c r="V66"/>
    </row>
    <row r="67" spans="1:22" s="16" customFormat="1" ht="15" customHeight="1" outlineLevel="1" x14ac:dyDescent="0.45">
      <c r="A67"/>
      <c r="B67" s="75"/>
      <c r="C67" s="78"/>
      <c r="D67" s="105"/>
      <c r="E67" s="106"/>
      <c r="F67" s="71"/>
      <c r="G67" s="78">
        <f t="shared" si="12"/>
        <v>0</v>
      </c>
      <c r="H67" s="3">
        <f t="shared" si="3"/>
        <v>0</v>
      </c>
      <c r="I67" s="20">
        <f t="shared" si="4"/>
        <v>0</v>
      </c>
      <c r="J67" s="94">
        <f t="shared" si="5"/>
        <v>0</v>
      </c>
      <c r="K67" s="20">
        <f t="shared" si="6"/>
        <v>0</v>
      </c>
      <c r="L67" s="94">
        <f t="shared" si="7"/>
        <v>0</v>
      </c>
      <c r="M67" s="78">
        <f t="shared" si="8"/>
        <v>0</v>
      </c>
      <c r="N67" s="79">
        <f t="shared" si="9"/>
        <v>0</v>
      </c>
      <c r="O67" s="94">
        <f t="shared" si="10"/>
        <v>0</v>
      </c>
      <c r="P67" s="106">
        <f t="shared" si="11"/>
        <v>0</v>
      </c>
      <c r="Q67" s="94">
        <f t="shared" si="0"/>
        <v>0</v>
      </c>
      <c r="R67" s="78">
        <f t="shared" si="1"/>
        <v>0</v>
      </c>
      <c r="S67" s="84">
        <f t="shared" si="2"/>
        <v>0</v>
      </c>
      <c r="T67"/>
      <c r="U67"/>
      <c r="V67"/>
    </row>
    <row r="68" spans="1:22" s="16" customFormat="1" ht="15" customHeight="1" outlineLevel="1" x14ac:dyDescent="0.45">
      <c r="A68"/>
      <c r="B68" s="75"/>
      <c r="C68" s="78"/>
      <c r="D68" s="105"/>
      <c r="E68" s="106"/>
      <c r="F68" s="71"/>
      <c r="G68" s="78">
        <f t="shared" si="12"/>
        <v>0</v>
      </c>
      <c r="H68" s="3">
        <f t="shared" si="3"/>
        <v>0</v>
      </c>
      <c r="I68" s="20">
        <f t="shared" si="4"/>
        <v>0</v>
      </c>
      <c r="J68" s="94">
        <f t="shared" si="5"/>
        <v>0</v>
      </c>
      <c r="K68" s="20">
        <f t="shared" si="6"/>
        <v>0</v>
      </c>
      <c r="L68" s="94">
        <f t="shared" si="7"/>
        <v>0</v>
      </c>
      <c r="M68" s="78">
        <f t="shared" si="8"/>
        <v>0</v>
      </c>
      <c r="N68" s="79">
        <f t="shared" si="9"/>
        <v>0</v>
      </c>
      <c r="O68" s="94">
        <f t="shared" si="10"/>
        <v>0</v>
      </c>
      <c r="P68" s="106">
        <f t="shared" si="11"/>
        <v>0</v>
      </c>
      <c r="Q68" s="94">
        <f t="shared" si="0"/>
        <v>0</v>
      </c>
      <c r="R68" s="78">
        <f t="shared" si="1"/>
        <v>0</v>
      </c>
      <c r="S68" s="84">
        <f t="shared" si="2"/>
        <v>0</v>
      </c>
      <c r="T68"/>
      <c r="U68"/>
      <c r="V68"/>
    </row>
    <row r="69" spans="1:22" s="16" customFormat="1" ht="15" customHeight="1" outlineLevel="1" x14ac:dyDescent="0.45">
      <c r="A69"/>
      <c r="B69" s="75"/>
      <c r="C69" s="78"/>
      <c r="D69" s="105"/>
      <c r="E69" s="106"/>
      <c r="F69" s="71"/>
      <c r="G69" s="78">
        <f t="shared" si="12"/>
        <v>0</v>
      </c>
      <c r="H69" s="3">
        <f t="shared" si="3"/>
        <v>0</v>
      </c>
      <c r="I69" s="20">
        <f t="shared" si="4"/>
        <v>0</v>
      </c>
      <c r="J69" s="94">
        <f t="shared" si="5"/>
        <v>0</v>
      </c>
      <c r="K69" s="20">
        <f t="shared" si="6"/>
        <v>0</v>
      </c>
      <c r="L69" s="94">
        <f t="shared" si="7"/>
        <v>0</v>
      </c>
      <c r="M69" s="78">
        <f t="shared" si="8"/>
        <v>0</v>
      </c>
      <c r="N69" s="79">
        <f t="shared" si="9"/>
        <v>0</v>
      </c>
      <c r="O69" s="94">
        <f t="shared" si="10"/>
        <v>0</v>
      </c>
      <c r="P69" s="106">
        <f t="shared" si="11"/>
        <v>0</v>
      </c>
      <c r="Q69" s="94">
        <f t="shared" ref="Q69:Q132" si="13">+H69</f>
        <v>0</v>
      </c>
      <c r="R69" s="78">
        <f t="shared" ref="R69:R132" si="14">+L69</f>
        <v>0</v>
      </c>
      <c r="S69" s="84">
        <f t="shared" ref="S69:S132" si="15">+M69</f>
        <v>0</v>
      </c>
      <c r="T69"/>
      <c r="U69"/>
      <c r="V69"/>
    </row>
    <row r="70" spans="1:22" s="16" customFormat="1" ht="15" customHeight="1" outlineLevel="1" x14ac:dyDescent="0.45">
      <c r="A70"/>
      <c r="B70" s="75"/>
      <c r="C70" s="78"/>
      <c r="D70" s="105"/>
      <c r="E70" s="106"/>
      <c r="F70" s="71"/>
      <c r="G70" s="78">
        <f t="shared" si="12"/>
        <v>0</v>
      </c>
      <c r="H70" s="3">
        <f t="shared" ref="H70:H133" si="16">IF(D70&gt;0,D70,0)</f>
        <v>0</v>
      </c>
      <c r="I70" s="20">
        <f t="shared" ref="I70:I133" si="17">IF(D70="",0,-D70)</f>
        <v>0</v>
      </c>
      <c r="J70" s="94">
        <f t="shared" ref="J70:J133" si="18">IF(F70="",0,-F70)</f>
        <v>0</v>
      </c>
      <c r="K70" s="20">
        <f t="shared" ref="K70:K133" si="19">IF(AND(I70&gt;0,I70&lt;&gt;""),-I70-J70,IF(J70="",0,-J70))</f>
        <v>0</v>
      </c>
      <c r="L70" s="94">
        <f t="shared" ref="L70:L133" si="20">+C70</f>
        <v>0</v>
      </c>
      <c r="M70" s="78">
        <f t="shared" ref="M70:M133" si="21">-L70</f>
        <v>0</v>
      </c>
      <c r="N70" s="79">
        <f t="shared" ref="N70:N133" si="22">IFERROR(+D70+I70,0)</f>
        <v>0</v>
      </c>
      <c r="O70" s="94">
        <f t="shared" ref="O70:O133" si="23">IFERROR(+F70+J70,0)</f>
        <v>0</v>
      </c>
      <c r="P70" s="106">
        <f t="shared" ref="P70:P133" si="24">IFERROR(+K70+G70,0)</f>
        <v>0</v>
      </c>
      <c r="Q70" s="94">
        <f t="shared" si="13"/>
        <v>0</v>
      </c>
      <c r="R70" s="78">
        <f t="shared" si="14"/>
        <v>0</v>
      </c>
      <c r="S70" s="84">
        <f t="shared" si="15"/>
        <v>0</v>
      </c>
      <c r="T70"/>
      <c r="U70"/>
      <c r="V70"/>
    </row>
    <row r="71" spans="1:22" s="16" customFormat="1" ht="15" customHeight="1" outlineLevel="1" x14ac:dyDescent="0.45">
      <c r="A71"/>
      <c r="B71" s="75"/>
      <c r="C71" s="78"/>
      <c r="D71" s="105"/>
      <c r="E71" s="106"/>
      <c r="F71" s="71"/>
      <c r="G71" s="78">
        <f t="shared" ref="G71:G134" si="25">-SUM(-G70,C71:D71,F71)</f>
        <v>0</v>
      </c>
      <c r="H71" s="3">
        <f t="shared" si="16"/>
        <v>0</v>
      </c>
      <c r="I71" s="20">
        <f t="shared" si="17"/>
        <v>0</v>
      </c>
      <c r="J71" s="94">
        <f t="shared" si="18"/>
        <v>0</v>
      </c>
      <c r="K71" s="20">
        <f t="shared" si="19"/>
        <v>0</v>
      </c>
      <c r="L71" s="94">
        <f t="shared" si="20"/>
        <v>0</v>
      </c>
      <c r="M71" s="78">
        <f t="shared" si="21"/>
        <v>0</v>
      </c>
      <c r="N71" s="79">
        <f t="shared" si="22"/>
        <v>0</v>
      </c>
      <c r="O71" s="94">
        <f t="shared" si="23"/>
        <v>0</v>
      </c>
      <c r="P71" s="106">
        <f t="shared" si="24"/>
        <v>0</v>
      </c>
      <c r="Q71" s="94">
        <f t="shared" si="13"/>
        <v>0</v>
      </c>
      <c r="R71" s="78">
        <f t="shared" si="14"/>
        <v>0</v>
      </c>
      <c r="S71" s="84">
        <f t="shared" si="15"/>
        <v>0</v>
      </c>
      <c r="T71"/>
      <c r="U71"/>
      <c r="V71"/>
    </row>
    <row r="72" spans="1:22" s="16" customFormat="1" ht="15" customHeight="1" outlineLevel="1" x14ac:dyDescent="0.45">
      <c r="A72"/>
      <c r="B72" s="75"/>
      <c r="C72" s="78"/>
      <c r="D72" s="105"/>
      <c r="E72" s="106"/>
      <c r="F72" s="71"/>
      <c r="G72" s="78">
        <f t="shared" si="25"/>
        <v>0</v>
      </c>
      <c r="H72" s="3">
        <f t="shared" si="16"/>
        <v>0</v>
      </c>
      <c r="I72" s="20">
        <f t="shared" si="17"/>
        <v>0</v>
      </c>
      <c r="J72" s="94">
        <f t="shared" si="18"/>
        <v>0</v>
      </c>
      <c r="K72" s="20">
        <f t="shared" si="19"/>
        <v>0</v>
      </c>
      <c r="L72" s="94">
        <f t="shared" si="20"/>
        <v>0</v>
      </c>
      <c r="M72" s="78">
        <f t="shared" si="21"/>
        <v>0</v>
      </c>
      <c r="N72" s="79">
        <f t="shared" si="22"/>
        <v>0</v>
      </c>
      <c r="O72" s="94">
        <f t="shared" si="23"/>
        <v>0</v>
      </c>
      <c r="P72" s="106">
        <f t="shared" si="24"/>
        <v>0</v>
      </c>
      <c r="Q72" s="94">
        <f t="shared" si="13"/>
        <v>0</v>
      </c>
      <c r="R72" s="78">
        <f t="shared" si="14"/>
        <v>0</v>
      </c>
      <c r="S72" s="84">
        <f t="shared" si="15"/>
        <v>0</v>
      </c>
      <c r="T72"/>
      <c r="U72"/>
      <c r="V72"/>
    </row>
    <row r="73" spans="1:22" s="16" customFormat="1" ht="15" customHeight="1" outlineLevel="1" x14ac:dyDescent="0.45">
      <c r="A73"/>
      <c r="B73" s="75"/>
      <c r="C73" s="78"/>
      <c r="D73" s="105"/>
      <c r="E73" s="106"/>
      <c r="F73" s="71"/>
      <c r="G73" s="78">
        <f t="shared" si="25"/>
        <v>0</v>
      </c>
      <c r="H73" s="3">
        <f t="shared" si="16"/>
        <v>0</v>
      </c>
      <c r="I73" s="20">
        <f t="shared" si="17"/>
        <v>0</v>
      </c>
      <c r="J73" s="94">
        <f t="shared" si="18"/>
        <v>0</v>
      </c>
      <c r="K73" s="20">
        <f t="shared" si="19"/>
        <v>0</v>
      </c>
      <c r="L73" s="94">
        <f t="shared" si="20"/>
        <v>0</v>
      </c>
      <c r="M73" s="78">
        <f t="shared" si="21"/>
        <v>0</v>
      </c>
      <c r="N73" s="79">
        <f t="shared" si="22"/>
        <v>0</v>
      </c>
      <c r="O73" s="94">
        <f t="shared" si="23"/>
        <v>0</v>
      </c>
      <c r="P73" s="106">
        <f t="shared" si="24"/>
        <v>0</v>
      </c>
      <c r="Q73" s="94">
        <f t="shared" si="13"/>
        <v>0</v>
      </c>
      <c r="R73" s="78">
        <f t="shared" si="14"/>
        <v>0</v>
      </c>
      <c r="S73" s="84">
        <f t="shared" si="15"/>
        <v>0</v>
      </c>
      <c r="T73"/>
      <c r="U73"/>
      <c r="V73"/>
    </row>
    <row r="74" spans="1:22" s="16" customFormat="1" ht="15" customHeight="1" outlineLevel="1" x14ac:dyDescent="0.45">
      <c r="A74"/>
      <c r="B74" s="75"/>
      <c r="C74" s="78"/>
      <c r="D74" s="105"/>
      <c r="E74" s="106"/>
      <c r="F74" s="71"/>
      <c r="G74" s="78">
        <f t="shared" si="25"/>
        <v>0</v>
      </c>
      <c r="H74" s="3">
        <f t="shared" si="16"/>
        <v>0</v>
      </c>
      <c r="I74" s="20">
        <f t="shared" si="17"/>
        <v>0</v>
      </c>
      <c r="J74" s="94">
        <f t="shared" si="18"/>
        <v>0</v>
      </c>
      <c r="K74" s="20">
        <f t="shared" si="19"/>
        <v>0</v>
      </c>
      <c r="L74" s="94">
        <f t="shared" si="20"/>
        <v>0</v>
      </c>
      <c r="M74" s="78">
        <f t="shared" si="21"/>
        <v>0</v>
      </c>
      <c r="N74" s="79">
        <f t="shared" si="22"/>
        <v>0</v>
      </c>
      <c r="O74" s="94">
        <f t="shared" si="23"/>
        <v>0</v>
      </c>
      <c r="P74" s="106">
        <f t="shared" si="24"/>
        <v>0</v>
      </c>
      <c r="Q74" s="94">
        <f t="shared" si="13"/>
        <v>0</v>
      </c>
      <c r="R74" s="78">
        <f t="shared" si="14"/>
        <v>0</v>
      </c>
      <c r="S74" s="84">
        <f t="shared" si="15"/>
        <v>0</v>
      </c>
      <c r="T74"/>
      <c r="U74"/>
      <c r="V74"/>
    </row>
    <row r="75" spans="1:22" s="16" customFormat="1" ht="15" customHeight="1" outlineLevel="1" x14ac:dyDescent="0.45">
      <c r="A75"/>
      <c r="B75" s="75"/>
      <c r="C75" s="78"/>
      <c r="D75" s="105"/>
      <c r="E75" s="106"/>
      <c r="F75" s="71"/>
      <c r="G75" s="78">
        <f t="shared" si="25"/>
        <v>0</v>
      </c>
      <c r="H75" s="3">
        <f t="shared" si="16"/>
        <v>0</v>
      </c>
      <c r="I75" s="20">
        <f t="shared" si="17"/>
        <v>0</v>
      </c>
      <c r="J75" s="94">
        <f t="shared" si="18"/>
        <v>0</v>
      </c>
      <c r="K75" s="20">
        <f t="shared" si="19"/>
        <v>0</v>
      </c>
      <c r="L75" s="94">
        <f t="shared" si="20"/>
        <v>0</v>
      </c>
      <c r="M75" s="78">
        <f t="shared" si="21"/>
        <v>0</v>
      </c>
      <c r="N75" s="79">
        <f t="shared" si="22"/>
        <v>0</v>
      </c>
      <c r="O75" s="94">
        <f t="shared" si="23"/>
        <v>0</v>
      </c>
      <c r="P75" s="106">
        <f t="shared" si="24"/>
        <v>0</v>
      </c>
      <c r="Q75" s="94">
        <f t="shared" si="13"/>
        <v>0</v>
      </c>
      <c r="R75" s="78">
        <f t="shared" si="14"/>
        <v>0</v>
      </c>
      <c r="S75" s="84">
        <f t="shared" si="15"/>
        <v>0</v>
      </c>
      <c r="T75"/>
      <c r="U75"/>
      <c r="V75"/>
    </row>
    <row r="76" spans="1:22" s="16" customFormat="1" ht="15" customHeight="1" outlineLevel="1" x14ac:dyDescent="0.45">
      <c r="A76"/>
      <c r="B76" s="75"/>
      <c r="C76" s="78"/>
      <c r="D76" s="105"/>
      <c r="E76" s="106"/>
      <c r="F76" s="71"/>
      <c r="G76" s="78">
        <f t="shared" si="25"/>
        <v>0</v>
      </c>
      <c r="H76" s="3">
        <f t="shared" si="16"/>
        <v>0</v>
      </c>
      <c r="I76" s="20">
        <f t="shared" si="17"/>
        <v>0</v>
      </c>
      <c r="J76" s="94">
        <f t="shared" si="18"/>
        <v>0</v>
      </c>
      <c r="K76" s="20">
        <f t="shared" si="19"/>
        <v>0</v>
      </c>
      <c r="L76" s="94">
        <f t="shared" si="20"/>
        <v>0</v>
      </c>
      <c r="M76" s="78">
        <f t="shared" si="21"/>
        <v>0</v>
      </c>
      <c r="N76" s="79">
        <f t="shared" si="22"/>
        <v>0</v>
      </c>
      <c r="O76" s="94">
        <f t="shared" si="23"/>
        <v>0</v>
      </c>
      <c r="P76" s="106">
        <f t="shared" si="24"/>
        <v>0</v>
      </c>
      <c r="Q76" s="94">
        <f t="shared" si="13"/>
        <v>0</v>
      </c>
      <c r="R76" s="78">
        <f t="shared" si="14"/>
        <v>0</v>
      </c>
      <c r="S76" s="84">
        <f t="shared" si="15"/>
        <v>0</v>
      </c>
      <c r="T76"/>
      <c r="U76"/>
      <c r="V76"/>
    </row>
    <row r="77" spans="1:22" s="16" customFormat="1" ht="15" customHeight="1" outlineLevel="1" x14ac:dyDescent="0.45">
      <c r="A77"/>
      <c r="B77" s="75"/>
      <c r="C77" s="78"/>
      <c r="D77" s="105"/>
      <c r="E77" s="106"/>
      <c r="F77" s="71"/>
      <c r="G77" s="78">
        <f t="shared" si="25"/>
        <v>0</v>
      </c>
      <c r="H77" s="3">
        <f t="shared" si="16"/>
        <v>0</v>
      </c>
      <c r="I77" s="20">
        <f t="shared" si="17"/>
        <v>0</v>
      </c>
      <c r="J77" s="94">
        <f t="shared" si="18"/>
        <v>0</v>
      </c>
      <c r="K77" s="20">
        <f t="shared" si="19"/>
        <v>0</v>
      </c>
      <c r="L77" s="94">
        <f t="shared" si="20"/>
        <v>0</v>
      </c>
      <c r="M77" s="78">
        <f t="shared" si="21"/>
        <v>0</v>
      </c>
      <c r="N77" s="79">
        <f t="shared" si="22"/>
        <v>0</v>
      </c>
      <c r="O77" s="94">
        <f t="shared" si="23"/>
        <v>0</v>
      </c>
      <c r="P77" s="106">
        <f t="shared" si="24"/>
        <v>0</v>
      </c>
      <c r="Q77" s="94">
        <f t="shared" si="13"/>
        <v>0</v>
      </c>
      <c r="R77" s="78">
        <f t="shared" si="14"/>
        <v>0</v>
      </c>
      <c r="S77" s="84">
        <f t="shared" si="15"/>
        <v>0</v>
      </c>
      <c r="T77"/>
      <c r="U77"/>
      <c r="V77"/>
    </row>
    <row r="78" spans="1:22" s="16" customFormat="1" ht="15" customHeight="1" outlineLevel="1" x14ac:dyDescent="0.45">
      <c r="A78"/>
      <c r="B78" s="75"/>
      <c r="C78" s="78"/>
      <c r="D78" s="105"/>
      <c r="E78" s="106"/>
      <c r="F78" s="71"/>
      <c r="G78" s="78">
        <f t="shared" si="25"/>
        <v>0</v>
      </c>
      <c r="H78" s="3">
        <f t="shared" si="16"/>
        <v>0</v>
      </c>
      <c r="I78" s="20">
        <f t="shared" si="17"/>
        <v>0</v>
      </c>
      <c r="J78" s="94">
        <f t="shared" si="18"/>
        <v>0</v>
      </c>
      <c r="K78" s="20">
        <f t="shared" si="19"/>
        <v>0</v>
      </c>
      <c r="L78" s="94">
        <f t="shared" si="20"/>
        <v>0</v>
      </c>
      <c r="M78" s="78">
        <f t="shared" si="21"/>
        <v>0</v>
      </c>
      <c r="N78" s="79">
        <f t="shared" si="22"/>
        <v>0</v>
      </c>
      <c r="O78" s="94">
        <f t="shared" si="23"/>
        <v>0</v>
      </c>
      <c r="P78" s="106">
        <f t="shared" si="24"/>
        <v>0</v>
      </c>
      <c r="Q78" s="94">
        <f t="shared" si="13"/>
        <v>0</v>
      </c>
      <c r="R78" s="78">
        <f t="shared" si="14"/>
        <v>0</v>
      </c>
      <c r="S78" s="84">
        <f t="shared" si="15"/>
        <v>0</v>
      </c>
      <c r="T78"/>
      <c r="U78"/>
      <c r="V78"/>
    </row>
    <row r="79" spans="1:22" s="16" customFormat="1" ht="15" customHeight="1" outlineLevel="1" x14ac:dyDescent="0.45">
      <c r="A79"/>
      <c r="B79" s="75"/>
      <c r="C79" s="78"/>
      <c r="D79" s="105"/>
      <c r="E79" s="106"/>
      <c r="F79" s="71"/>
      <c r="G79" s="78">
        <f t="shared" si="25"/>
        <v>0</v>
      </c>
      <c r="H79" s="3">
        <f t="shared" si="16"/>
        <v>0</v>
      </c>
      <c r="I79" s="20">
        <f t="shared" si="17"/>
        <v>0</v>
      </c>
      <c r="J79" s="94">
        <f t="shared" si="18"/>
        <v>0</v>
      </c>
      <c r="K79" s="20">
        <f t="shared" si="19"/>
        <v>0</v>
      </c>
      <c r="L79" s="94">
        <f t="shared" si="20"/>
        <v>0</v>
      </c>
      <c r="M79" s="78">
        <f t="shared" si="21"/>
        <v>0</v>
      </c>
      <c r="N79" s="79">
        <f t="shared" si="22"/>
        <v>0</v>
      </c>
      <c r="O79" s="94">
        <f t="shared" si="23"/>
        <v>0</v>
      </c>
      <c r="P79" s="106">
        <f t="shared" si="24"/>
        <v>0</v>
      </c>
      <c r="Q79" s="94">
        <f t="shared" si="13"/>
        <v>0</v>
      </c>
      <c r="R79" s="78">
        <f t="shared" si="14"/>
        <v>0</v>
      </c>
      <c r="S79" s="84">
        <f t="shared" si="15"/>
        <v>0</v>
      </c>
      <c r="T79"/>
      <c r="U79"/>
      <c r="V79"/>
    </row>
    <row r="80" spans="1:22" s="16" customFormat="1" ht="15" customHeight="1" outlineLevel="1" x14ac:dyDescent="0.45">
      <c r="A80"/>
      <c r="B80" s="75"/>
      <c r="C80" s="78"/>
      <c r="D80" s="105"/>
      <c r="E80" s="106"/>
      <c r="F80" s="71"/>
      <c r="G80" s="78">
        <f t="shared" si="25"/>
        <v>0</v>
      </c>
      <c r="H80" s="3">
        <f t="shared" si="16"/>
        <v>0</v>
      </c>
      <c r="I80" s="20">
        <f t="shared" si="17"/>
        <v>0</v>
      </c>
      <c r="J80" s="94">
        <f t="shared" si="18"/>
        <v>0</v>
      </c>
      <c r="K80" s="20">
        <f t="shared" si="19"/>
        <v>0</v>
      </c>
      <c r="L80" s="94">
        <f t="shared" si="20"/>
        <v>0</v>
      </c>
      <c r="M80" s="78">
        <f t="shared" si="21"/>
        <v>0</v>
      </c>
      <c r="N80" s="79">
        <f t="shared" si="22"/>
        <v>0</v>
      </c>
      <c r="O80" s="94">
        <f t="shared" si="23"/>
        <v>0</v>
      </c>
      <c r="P80" s="106">
        <f t="shared" si="24"/>
        <v>0</v>
      </c>
      <c r="Q80" s="94">
        <f t="shared" si="13"/>
        <v>0</v>
      </c>
      <c r="R80" s="78">
        <f t="shared" si="14"/>
        <v>0</v>
      </c>
      <c r="S80" s="84">
        <f t="shared" si="15"/>
        <v>0</v>
      </c>
      <c r="T80"/>
      <c r="U80"/>
      <c r="V80"/>
    </row>
    <row r="81" spans="1:22" s="16" customFormat="1" ht="15" customHeight="1" outlineLevel="1" x14ac:dyDescent="0.45">
      <c r="A81"/>
      <c r="B81" s="75"/>
      <c r="C81" s="78"/>
      <c r="D81" s="105"/>
      <c r="E81" s="106"/>
      <c r="F81" s="71"/>
      <c r="G81" s="78">
        <f t="shared" si="25"/>
        <v>0</v>
      </c>
      <c r="H81" s="3">
        <f t="shared" si="16"/>
        <v>0</v>
      </c>
      <c r="I81" s="20">
        <f t="shared" si="17"/>
        <v>0</v>
      </c>
      <c r="J81" s="94">
        <f t="shared" si="18"/>
        <v>0</v>
      </c>
      <c r="K81" s="20">
        <f t="shared" si="19"/>
        <v>0</v>
      </c>
      <c r="L81" s="94">
        <f t="shared" si="20"/>
        <v>0</v>
      </c>
      <c r="M81" s="78">
        <f t="shared" si="21"/>
        <v>0</v>
      </c>
      <c r="N81" s="79">
        <f t="shared" si="22"/>
        <v>0</v>
      </c>
      <c r="O81" s="94">
        <f t="shared" si="23"/>
        <v>0</v>
      </c>
      <c r="P81" s="106">
        <f t="shared" si="24"/>
        <v>0</v>
      </c>
      <c r="Q81" s="94">
        <f t="shared" si="13"/>
        <v>0</v>
      </c>
      <c r="R81" s="78">
        <f t="shared" si="14"/>
        <v>0</v>
      </c>
      <c r="S81" s="84">
        <f t="shared" si="15"/>
        <v>0</v>
      </c>
      <c r="T81"/>
      <c r="U81"/>
      <c r="V81"/>
    </row>
    <row r="82" spans="1:22" s="16" customFormat="1" ht="15" customHeight="1" outlineLevel="1" x14ac:dyDescent="0.45">
      <c r="A82"/>
      <c r="B82" s="75"/>
      <c r="C82" s="78"/>
      <c r="D82" s="105"/>
      <c r="E82" s="106"/>
      <c r="F82" s="71"/>
      <c r="G82" s="78">
        <f t="shared" si="25"/>
        <v>0</v>
      </c>
      <c r="H82" s="3">
        <f t="shared" si="16"/>
        <v>0</v>
      </c>
      <c r="I82" s="20">
        <f t="shared" si="17"/>
        <v>0</v>
      </c>
      <c r="J82" s="94">
        <f t="shared" si="18"/>
        <v>0</v>
      </c>
      <c r="K82" s="20">
        <f t="shared" si="19"/>
        <v>0</v>
      </c>
      <c r="L82" s="94">
        <f t="shared" si="20"/>
        <v>0</v>
      </c>
      <c r="M82" s="78">
        <f t="shared" si="21"/>
        <v>0</v>
      </c>
      <c r="N82" s="79">
        <f t="shared" si="22"/>
        <v>0</v>
      </c>
      <c r="O82" s="94">
        <f t="shared" si="23"/>
        <v>0</v>
      </c>
      <c r="P82" s="106">
        <f t="shared" si="24"/>
        <v>0</v>
      </c>
      <c r="Q82" s="94">
        <f t="shared" si="13"/>
        <v>0</v>
      </c>
      <c r="R82" s="78">
        <f t="shared" si="14"/>
        <v>0</v>
      </c>
      <c r="S82" s="84">
        <f t="shared" si="15"/>
        <v>0</v>
      </c>
      <c r="T82"/>
      <c r="U82"/>
      <c r="V82"/>
    </row>
    <row r="83" spans="1:22" s="16" customFormat="1" ht="15" customHeight="1" outlineLevel="1" x14ac:dyDescent="0.45">
      <c r="A83"/>
      <c r="B83" s="75"/>
      <c r="C83" s="78"/>
      <c r="D83" s="105"/>
      <c r="E83" s="106"/>
      <c r="F83" s="71"/>
      <c r="G83" s="78">
        <f t="shared" si="25"/>
        <v>0</v>
      </c>
      <c r="H83" s="3">
        <f t="shared" si="16"/>
        <v>0</v>
      </c>
      <c r="I83" s="20">
        <f t="shared" si="17"/>
        <v>0</v>
      </c>
      <c r="J83" s="94">
        <f t="shared" si="18"/>
        <v>0</v>
      </c>
      <c r="K83" s="20">
        <f t="shared" si="19"/>
        <v>0</v>
      </c>
      <c r="L83" s="94">
        <f t="shared" si="20"/>
        <v>0</v>
      </c>
      <c r="M83" s="78">
        <f t="shared" si="21"/>
        <v>0</v>
      </c>
      <c r="N83" s="79">
        <f t="shared" si="22"/>
        <v>0</v>
      </c>
      <c r="O83" s="94">
        <f t="shared" si="23"/>
        <v>0</v>
      </c>
      <c r="P83" s="106">
        <f t="shared" si="24"/>
        <v>0</v>
      </c>
      <c r="Q83" s="94">
        <f t="shared" si="13"/>
        <v>0</v>
      </c>
      <c r="R83" s="78">
        <f t="shared" si="14"/>
        <v>0</v>
      </c>
      <c r="S83" s="84">
        <f t="shared" si="15"/>
        <v>0</v>
      </c>
      <c r="T83"/>
      <c r="U83"/>
      <c r="V83"/>
    </row>
    <row r="84" spans="1:22" s="16" customFormat="1" ht="15" customHeight="1" outlineLevel="1" x14ac:dyDescent="0.45">
      <c r="A84"/>
      <c r="B84" s="75"/>
      <c r="C84" s="78"/>
      <c r="D84" s="105"/>
      <c r="E84" s="106"/>
      <c r="F84" s="71"/>
      <c r="G84" s="78">
        <f t="shared" si="25"/>
        <v>0</v>
      </c>
      <c r="H84" s="3">
        <f t="shared" si="16"/>
        <v>0</v>
      </c>
      <c r="I84" s="20">
        <f t="shared" si="17"/>
        <v>0</v>
      </c>
      <c r="J84" s="94">
        <f t="shared" si="18"/>
        <v>0</v>
      </c>
      <c r="K84" s="20">
        <f t="shared" si="19"/>
        <v>0</v>
      </c>
      <c r="L84" s="94">
        <f t="shared" si="20"/>
        <v>0</v>
      </c>
      <c r="M84" s="78">
        <f t="shared" si="21"/>
        <v>0</v>
      </c>
      <c r="N84" s="79">
        <f t="shared" si="22"/>
        <v>0</v>
      </c>
      <c r="O84" s="94">
        <f t="shared" si="23"/>
        <v>0</v>
      </c>
      <c r="P84" s="106">
        <f t="shared" si="24"/>
        <v>0</v>
      </c>
      <c r="Q84" s="94">
        <f t="shared" si="13"/>
        <v>0</v>
      </c>
      <c r="R84" s="78">
        <f t="shared" si="14"/>
        <v>0</v>
      </c>
      <c r="S84" s="84">
        <f t="shared" si="15"/>
        <v>0</v>
      </c>
      <c r="T84"/>
      <c r="U84"/>
      <c r="V84"/>
    </row>
    <row r="85" spans="1:22" s="16" customFormat="1" ht="15" customHeight="1" outlineLevel="1" x14ac:dyDescent="0.45">
      <c r="A85"/>
      <c r="B85" s="75"/>
      <c r="C85" s="78"/>
      <c r="D85" s="105"/>
      <c r="E85" s="106"/>
      <c r="F85" s="71"/>
      <c r="G85" s="78">
        <f t="shared" si="25"/>
        <v>0</v>
      </c>
      <c r="H85" s="3">
        <f t="shared" si="16"/>
        <v>0</v>
      </c>
      <c r="I85" s="20">
        <f t="shared" si="17"/>
        <v>0</v>
      </c>
      <c r="J85" s="94">
        <f t="shared" si="18"/>
        <v>0</v>
      </c>
      <c r="K85" s="20">
        <f t="shared" si="19"/>
        <v>0</v>
      </c>
      <c r="L85" s="94">
        <f t="shared" si="20"/>
        <v>0</v>
      </c>
      <c r="M85" s="78">
        <f t="shared" si="21"/>
        <v>0</v>
      </c>
      <c r="N85" s="79">
        <f t="shared" si="22"/>
        <v>0</v>
      </c>
      <c r="O85" s="94">
        <f t="shared" si="23"/>
        <v>0</v>
      </c>
      <c r="P85" s="106">
        <f t="shared" si="24"/>
        <v>0</v>
      </c>
      <c r="Q85" s="94">
        <f t="shared" si="13"/>
        <v>0</v>
      </c>
      <c r="R85" s="78">
        <f t="shared" si="14"/>
        <v>0</v>
      </c>
      <c r="S85" s="84">
        <f t="shared" si="15"/>
        <v>0</v>
      </c>
      <c r="T85"/>
      <c r="U85"/>
      <c r="V85"/>
    </row>
    <row r="86" spans="1:22" s="16" customFormat="1" ht="15" customHeight="1" outlineLevel="1" x14ac:dyDescent="0.45">
      <c r="A86"/>
      <c r="B86" s="75"/>
      <c r="C86" s="78"/>
      <c r="D86" s="105"/>
      <c r="E86" s="106"/>
      <c r="F86" s="71"/>
      <c r="G86" s="78">
        <f t="shared" si="25"/>
        <v>0</v>
      </c>
      <c r="H86" s="3">
        <f t="shared" si="16"/>
        <v>0</v>
      </c>
      <c r="I86" s="20">
        <f t="shared" si="17"/>
        <v>0</v>
      </c>
      <c r="J86" s="94">
        <f t="shared" si="18"/>
        <v>0</v>
      </c>
      <c r="K86" s="20">
        <f t="shared" si="19"/>
        <v>0</v>
      </c>
      <c r="L86" s="94">
        <f t="shared" si="20"/>
        <v>0</v>
      </c>
      <c r="M86" s="78">
        <f t="shared" si="21"/>
        <v>0</v>
      </c>
      <c r="N86" s="79">
        <f t="shared" si="22"/>
        <v>0</v>
      </c>
      <c r="O86" s="94">
        <f t="shared" si="23"/>
        <v>0</v>
      </c>
      <c r="P86" s="106">
        <f t="shared" si="24"/>
        <v>0</v>
      </c>
      <c r="Q86" s="94">
        <f t="shared" si="13"/>
        <v>0</v>
      </c>
      <c r="R86" s="78">
        <f t="shared" si="14"/>
        <v>0</v>
      </c>
      <c r="S86" s="84">
        <f t="shared" si="15"/>
        <v>0</v>
      </c>
      <c r="T86"/>
      <c r="U86"/>
      <c r="V86"/>
    </row>
    <row r="87" spans="1:22" s="16" customFormat="1" ht="15" customHeight="1" outlineLevel="1" x14ac:dyDescent="0.45">
      <c r="A87"/>
      <c r="B87" s="75"/>
      <c r="C87" s="78"/>
      <c r="D87" s="105"/>
      <c r="E87" s="106"/>
      <c r="F87" s="71"/>
      <c r="G87" s="78">
        <f t="shared" si="25"/>
        <v>0</v>
      </c>
      <c r="H87" s="3">
        <f t="shared" si="16"/>
        <v>0</v>
      </c>
      <c r="I87" s="20">
        <f t="shared" si="17"/>
        <v>0</v>
      </c>
      <c r="J87" s="94">
        <f t="shared" si="18"/>
        <v>0</v>
      </c>
      <c r="K87" s="20">
        <f t="shared" si="19"/>
        <v>0</v>
      </c>
      <c r="L87" s="94">
        <f t="shared" si="20"/>
        <v>0</v>
      </c>
      <c r="M87" s="78">
        <f t="shared" si="21"/>
        <v>0</v>
      </c>
      <c r="N87" s="79">
        <f t="shared" si="22"/>
        <v>0</v>
      </c>
      <c r="O87" s="94">
        <f t="shared" si="23"/>
        <v>0</v>
      </c>
      <c r="P87" s="106">
        <f t="shared" si="24"/>
        <v>0</v>
      </c>
      <c r="Q87" s="94">
        <f t="shared" si="13"/>
        <v>0</v>
      </c>
      <c r="R87" s="78">
        <f t="shared" si="14"/>
        <v>0</v>
      </c>
      <c r="S87" s="84">
        <f t="shared" si="15"/>
        <v>0</v>
      </c>
      <c r="T87"/>
      <c r="U87"/>
      <c r="V87"/>
    </row>
    <row r="88" spans="1:22" s="16" customFormat="1" ht="15" customHeight="1" outlineLevel="1" x14ac:dyDescent="0.45">
      <c r="A88"/>
      <c r="B88" s="75"/>
      <c r="C88" s="78"/>
      <c r="D88" s="105"/>
      <c r="E88" s="106"/>
      <c r="F88" s="71"/>
      <c r="G88" s="78">
        <f t="shared" si="25"/>
        <v>0</v>
      </c>
      <c r="H88" s="3">
        <f t="shared" si="16"/>
        <v>0</v>
      </c>
      <c r="I88" s="20">
        <f t="shared" si="17"/>
        <v>0</v>
      </c>
      <c r="J88" s="94">
        <f t="shared" si="18"/>
        <v>0</v>
      </c>
      <c r="K88" s="20">
        <f t="shared" si="19"/>
        <v>0</v>
      </c>
      <c r="L88" s="94">
        <f t="shared" si="20"/>
        <v>0</v>
      </c>
      <c r="M88" s="78">
        <f t="shared" si="21"/>
        <v>0</v>
      </c>
      <c r="N88" s="79">
        <f t="shared" si="22"/>
        <v>0</v>
      </c>
      <c r="O88" s="94">
        <f t="shared" si="23"/>
        <v>0</v>
      </c>
      <c r="P88" s="106">
        <f t="shared" si="24"/>
        <v>0</v>
      </c>
      <c r="Q88" s="94">
        <f t="shared" si="13"/>
        <v>0</v>
      </c>
      <c r="R88" s="78">
        <f t="shared" si="14"/>
        <v>0</v>
      </c>
      <c r="S88" s="84">
        <f t="shared" si="15"/>
        <v>0</v>
      </c>
      <c r="T88"/>
      <c r="U88"/>
      <c r="V88"/>
    </row>
    <row r="89" spans="1:22" s="16" customFormat="1" ht="15" customHeight="1" outlineLevel="1" x14ac:dyDescent="0.45">
      <c r="A89"/>
      <c r="B89" s="75"/>
      <c r="C89" s="78"/>
      <c r="D89" s="105"/>
      <c r="E89" s="106"/>
      <c r="F89" s="71"/>
      <c r="G89" s="78">
        <f t="shared" si="25"/>
        <v>0</v>
      </c>
      <c r="H89" s="3">
        <f t="shared" si="16"/>
        <v>0</v>
      </c>
      <c r="I89" s="20">
        <f t="shared" si="17"/>
        <v>0</v>
      </c>
      <c r="J89" s="94">
        <f t="shared" si="18"/>
        <v>0</v>
      </c>
      <c r="K89" s="20">
        <f t="shared" si="19"/>
        <v>0</v>
      </c>
      <c r="L89" s="94">
        <f t="shared" si="20"/>
        <v>0</v>
      </c>
      <c r="M89" s="78">
        <f t="shared" si="21"/>
        <v>0</v>
      </c>
      <c r="N89" s="79">
        <f t="shared" si="22"/>
        <v>0</v>
      </c>
      <c r="O89" s="94">
        <f t="shared" si="23"/>
        <v>0</v>
      </c>
      <c r="P89" s="106">
        <f t="shared" si="24"/>
        <v>0</v>
      </c>
      <c r="Q89" s="94">
        <f t="shared" si="13"/>
        <v>0</v>
      </c>
      <c r="R89" s="78">
        <f t="shared" si="14"/>
        <v>0</v>
      </c>
      <c r="S89" s="84">
        <f t="shared" si="15"/>
        <v>0</v>
      </c>
      <c r="T89"/>
      <c r="U89"/>
      <c r="V89"/>
    </row>
    <row r="90" spans="1:22" s="16" customFormat="1" ht="15" customHeight="1" outlineLevel="1" x14ac:dyDescent="0.45">
      <c r="A90"/>
      <c r="B90" s="75"/>
      <c r="C90" s="78"/>
      <c r="D90" s="105"/>
      <c r="E90" s="106"/>
      <c r="F90" s="71"/>
      <c r="G90" s="78">
        <f t="shared" si="25"/>
        <v>0</v>
      </c>
      <c r="H90" s="3">
        <f t="shared" si="16"/>
        <v>0</v>
      </c>
      <c r="I90" s="20">
        <f t="shared" si="17"/>
        <v>0</v>
      </c>
      <c r="J90" s="94">
        <f t="shared" si="18"/>
        <v>0</v>
      </c>
      <c r="K90" s="20">
        <f t="shared" si="19"/>
        <v>0</v>
      </c>
      <c r="L90" s="94">
        <f t="shared" si="20"/>
        <v>0</v>
      </c>
      <c r="M90" s="78">
        <f t="shared" si="21"/>
        <v>0</v>
      </c>
      <c r="N90" s="79">
        <f t="shared" si="22"/>
        <v>0</v>
      </c>
      <c r="O90" s="94">
        <f t="shared" si="23"/>
        <v>0</v>
      </c>
      <c r="P90" s="106">
        <f t="shared" si="24"/>
        <v>0</v>
      </c>
      <c r="Q90" s="94">
        <f t="shared" si="13"/>
        <v>0</v>
      </c>
      <c r="R90" s="78">
        <f t="shared" si="14"/>
        <v>0</v>
      </c>
      <c r="S90" s="84">
        <f t="shared" si="15"/>
        <v>0</v>
      </c>
      <c r="T90"/>
      <c r="U90"/>
      <c r="V90"/>
    </row>
    <row r="91" spans="1:22" s="16" customFormat="1" ht="15" customHeight="1" outlineLevel="1" x14ac:dyDescent="0.45">
      <c r="A91"/>
      <c r="B91" s="75"/>
      <c r="C91" s="78"/>
      <c r="D91" s="105"/>
      <c r="E91" s="106"/>
      <c r="F91" s="71"/>
      <c r="G91" s="78">
        <f t="shared" si="25"/>
        <v>0</v>
      </c>
      <c r="H91" s="3">
        <f t="shared" si="16"/>
        <v>0</v>
      </c>
      <c r="I91" s="20">
        <f t="shared" si="17"/>
        <v>0</v>
      </c>
      <c r="J91" s="94">
        <f t="shared" si="18"/>
        <v>0</v>
      </c>
      <c r="K91" s="20">
        <f t="shared" si="19"/>
        <v>0</v>
      </c>
      <c r="L91" s="94">
        <f t="shared" si="20"/>
        <v>0</v>
      </c>
      <c r="M91" s="78">
        <f t="shared" si="21"/>
        <v>0</v>
      </c>
      <c r="N91" s="79">
        <f t="shared" si="22"/>
        <v>0</v>
      </c>
      <c r="O91" s="94">
        <f t="shared" si="23"/>
        <v>0</v>
      </c>
      <c r="P91" s="106">
        <f t="shared" si="24"/>
        <v>0</v>
      </c>
      <c r="Q91" s="94">
        <f t="shared" si="13"/>
        <v>0</v>
      </c>
      <c r="R91" s="78">
        <f t="shared" si="14"/>
        <v>0</v>
      </c>
      <c r="S91" s="84">
        <f t="shared" si="15"/>
        <v>0</v>
      </c>
      <c r="T91"/>
      <c r="U91"/>
      <c r="V91"/>
    </row>
    <row r="92" spans="1:22" s="16" customFormat="1" ht="15" customHeight="1" outlineLevel="1" x14ac:dyDescent="0.45">
      <c r="A92"/>
      <c r="B92" s="75"/>
      <c r="C92" s="78"/>
      <c r="D92" s="105"/>
      <c r="E92" s="106"/>
      <c r="F92" s="71"/>
      <c r="G92" s="78">
        <f t="shared" si="25"/>
        <v>0</v>
      </c>
      <c r="H92" s="3">
        <f t="shared" si="16"/>
        <v>0</v>
      </c>
      <c r="I92" s="20">
        <f t="shared" si="17"/>
        <v>0</v>
      </c>
      <c r="J92" s="94">
        <f t="shared" si="18"/>
        <v>0</v>
      </c>
      <c r="K92" s="20">
        <f t="shared" si="19"/>
        <v>0</v>
      </c>
      <c r="L92" s="94">
        <f t="shared" si="20"/>
        <v>0</v>
      </c>
      <c r="M92" s="78">
        <f t="shared" si="21"/>
        <v>0</v>
      </c>
      <c r="N92" s="79">
        <f t="shared" si="22"/>
        <v>0</v>
      </c>
      <c r="O92" s="94">
        <f t="shared" si="23"/>
        <v>0</v>
      </c>
      <c r="P92" s="106">
        <f t="shared" si="24"/>
        <v>0</v>
      </c>
      <c r="Q92" s="94">
        <f t="shared" si="13"/>
        <v>0</v>
      </c>
      <c r="R92" s="78">
        <f t="shared" si="14"/>
        <v>0</v>
      </c>
      <c r="S92" s="84">
        <f t="shared" si="15"/>
        <v>0</v>
      </c>
      <c r="T92"/>
      <c r="U92"/>
      <c r="V92"/>
    </row>
    <row r="93" spans="1:22" s="16" customFormat="1" ht="15" customHeight="1" outlineLevel="1" x14ac:dyDescent="0.45">
      <c r="A93"/>
      <c r="B93" s="75"/>
      <c r="C93" s="78"/>
      <c r="D93" s="105"/>
      <c r="E93" s="106"/>
      <c r="F93" s="71"/>
      <c r="G93" s="78">
        <f t="shared" si="25"/>
        <v>0</v>
      </c>
      <c r="H93" s="3">
        <f t="shared" si="16"/>
        <v>0</v>
      </c>
      <c r="I93" s="20">
        <f t="shared" si="17"/>
        <v>0</v>
      </c>
      <c r="J93" s="94">
        <f t="shared" si="18"/>
        <v>0</v>
      </c>
      <c r="K93" s="20">
        <f t="shared" si="19"/>
        <v>0</v>
      </c>
      <c r="L93" s="94">
        <f t="shared" si="20"/>
        <v>0</v>
      </c>
      <c r="M93" s="78">
        <f t="shared" si="21"/>
        <v>0</v>
      </c>
      <c r="N93" s="79">
        <f t="shared" si="22"/>
        <v>0</v>
      </c>
      <c r="O93" s="94">
        <f t="shared" si="23"/>
        <v>0</v>
      </c>
      <c r="P93" s="106">
        <f t="shared" si="24"/>
        <v>0</v>
      </c>
      <c r="Q93" s="94">
        <f t="shared" si="13"/>
        <v>0</v>
      </c>
      <c r="R93" s="78">
        <f t="shared" si="14"/>
        <v>0</v>
      </c>
      <c r="S93" s="84">
        <f t="shared" si="15"/>
        <v>0</v>
      </c>
      <c r="T93"/>
      <c r="U93"/>
      <c r="V93"/>
    </row>
    <row r="94" spans="1:22" s="16" customFormat="1" ht="15" customHeight="1" outlineLevel="1" x14ac:dyDescent="0.45">
      <c r="A94"/>
      <c r="B94" s="75"/>
      <c r="C94" s="78"/>
      <c r="D94" s="105"/>
      <c r="E94" s="106"/>
      <c r="F94" s="71"/>
      <c r="G94" s="78">
        <f t="shared" si="25"/>
        <v>0</v>
      </c>
      <c r="H94" s="3">
        <f t="shared" si="16"/>
        <v>0</v>
      </c>
      <c r="I94" s="20">
        <f t="shared" si="17"/>
        <v>0</v>
      </c>
      <c r="J94" s="94">
        <f t="shared" si="18"/>
        <v>0</v>
      </c>
      <c r="K94" s="20">
        <f t="shared" si="19"/>
        <v>0</v>
      </c>
      <c r="L94" s="94">
        <f t="shared" si="20"/>
        <v>0</v>
      </c>
      <c r="M94" s="78">
        <f t="shared" si="21"/>
        <v>0</v>
      </c>
      <c r="N94" s="79">
        <f t="shared" si="22"/>
        <v>0</v>
      </c>
      <c r="O94" s="94">
        <f t="shared" si="23"/>
        <v>0</v>
      </c>
      <c r="P94" s="106">
        <f t="shared" si="24"/>
        <v>0</v>
      </c>
      <c r="Q94" s="94">
        <f t="shared" si="13"/>
        <v>0</v>
      </c>
      <c r="R94" s="78">
        <f t="shared" si="14"/>
        <v>0</v>
      </c>
      <c r="S94" s="84">
        <f t="shared" si="15"/>
        <v>0</v>
      </c>
      <c r="T94"/>
      <c r="U94"/>
      <c r="V94"/>
    </row>
    <row r="95" spans="1:22" s="16" customFormat="1" ht="15" customHeight="1" outlineLevel="1" x14ac:dyDescent="0.45">
      <c r="A95"/>
      <c r="B95" s="75"/>
      <c r="C95" s="78"/>
      <c r="D95" s="105"/>
      <c r="E95" s="106"/>
      <c r="F95" s="71"/>
      <c r="G95" s="78">
        <f t="shared" si="25"/>
        <v>0</v>
      </c>
      <c r="H95" s="3">
        <f t="shared" si="16"/>
        <v>0</v>
      </c>
      <c r="I95" s="20">
        <f t="shared" si="17"/>
        <v>0</v>
      </c>
      <c r="J95" s="94">
        <f t="shared" si="18"/>
        <v>0</v>
      </c>
      <c r="K95" s="20">
        <f t="shared" si="19"/>
        <v>0</v>
      </c>
      <c r="L95" s="94">
        <f t="shared" si="20"/>
        <v>0</v>
      </c>
      <c r="M95" s="78">
        <f t="shared" si="21"/>
        <v>0</v>
      </c>
      <c r="N95" s="79">
        <f t="shared" si="22"/>
        <v>0</v>
      </c>
      <c r="O95" s="94">
        <f t="shared" si="23"/>
        <v>0</v>
      </c>
      <c r="P95" s="106">
        <f t="shared" si="24"/>
        <v>0</v>
      </c>
      <c r="Q95" s="94">
        <f t="shared" si="13"/>
        <v>0</v>
      </c>
      <c r="R95" s="78">
        <f t="shared" si="14"/>
        <v>0</v>
      </c>
      <c r="S95" s="84">
        <f t="shared" si="15"/>
        <v>0</v>
      </c>
      <c r="T95"/>
      <c r="U95"/>
      <c r="V95"/>
    </row>
    <row r="96" spans="1:22" s="16" customFormat="1" ht="15" customHeight="1" outlineLevel="1" x14ac:dyDescent="0.45">
      <c r="A96"/>
      <c r="B96" s="75"/>
      <c r="C96" s="78"/>
      <c r="D96" s="105"/>
      <c r="E96" s="106"/>
      <c r="F96" s="71"/>
      <c r="G96" s="78">
        <f t="shared" si="25"/>
        <v>0</v>
      </c>
      <c r="H96" s="3">
        <f t="shared" si="16"/>
        <v>0</v>
      </c>
      <c r="I96" s="20">
        <f t="shared" si="17"/>
        <v>0</v>
      </c>
      <c r="J96" s="94">
        <f t="shared" si="18"/>
        <v>0</v>
      </c>
      <c r="K96" s="20">
        <f t="shared" si="19"/>
        <v>0</v>
      </c>
      <c r="L96" s="94">
        <f t="shared" si="20"/>
        <v>0</v>
      </c>
      <c r="M96" s="78">
        <f t="shared" si="21"/>
        <v>0</v>
      </c>
      <c r="N96" s="79">
        <f t="shared" si="22"/>
        <v>0</v>
      </c>
      <c r="O96" s="94">
        <f t="shared" si="23"/>
        <v>0</v>
      </c>
      <c r="P96" s="106">
        <f t="shared" si="24"/>
        <v>0</v>
      </c>
      <c r="Q96" s="94">
        <f t="shared" si="13"/>
        <v>0</v>
      </c>
      <c r="R96" s="78">
        <f t="shared" si="14"/>
        <v>0</v>
      </c>
      <c r="S96" s="84">
        <f t="shared" si="15"/>
        <v>0</v>
      </c>
      <c r="T96"/>
      <c r="U96"/>
      <c r="V96"/>
    </row>
    <row r="97" spans="1:22" s="16" customFormat="1" ht="15" customHeight="1" outlineLevel="1" x14ac:dyDescent="0.45">
      <c r="A97"/>
      <c r="B97" s="75"/>
      <c r="C97" s="78"/>
      <c r="D97" s="105"/>
      <c r="E97" s="106"/>
      <c r="F97" s="71"/>
      <c r="G97" s="78">
        <f t="shared" si="25"/>
        <v>0</v>
      </c>
      <c r="H97" s="3">
        <f t="shared" si="16"/>
        <v>0</v>
      </c>
      <c r="I97" s="20">
        <f t="shared" si="17"/>
        <v>0</v>
      </c>
      <c r="J97" s="94">
        <f t="shared" si="18"/>
        <v>0</v>
      </c>
      <c r="K97" s="20">
        <f t="shared" si="19"/>
        <v>0</v>
      </c>
      <c r="L97" s="94">
        <f t="shared" si="20"/>
        <v>0</v>
      </c>
      <c r="M97" s="78">
        <f t="shared" si="21"/>
        <v>0</v>
      </c>
      <c r="N97" s="79">
        <f t="shared" si="22"/>
        <v>0</v>
      </c>
      <c r="O97" s="94">
        <f t="shared" si="23"/>
        <v>0</v>
      </c>
      <c r="P97" s="106">
        <f t="shared" si="24"/>
        <v>0</v>
      </c>
      <c r="Q97" s="94">
        <f t="shared" si="13"/>
        <v>0</v>
      </c>
      <c r="R97" s="78">
        <f t="shared" si="14"/>
        <v>0</v>
      </c>
      <c r="S97" s="84">
        <f t="shared" si="15"/>
        <v>0</v>
      </c>
      <c r="T97"/>
      <c r="U97"/>
      <c r="V97"/>
    </row>
    <row r="98" spans="1:22" s="16" customFormat="1" ht="15" customHeight="1" outlineLevel="1" x14ac:dyDescent="0.45">
      <c r="A98"/>
      <c r="B98" s="75"/>
      <c r="C98" s="78"/>
      <c r="D98" s="105"/>
      <c r="E98" s="106"/>
      <c r="F98" s="71"/>
      <c r="G98" s="78">
        <f t="shared" si="25"/>
        <v>0</v>
      </c>
      <c r="H98" s="3">
        <f t="shared" si="16"/>
        <v>0</v>
      </c>
      <c r="I98" s="20">
        <f t="shared" si="17"/>
        <v>0</v>
      </c>
      <c r="J98" s="94">
        <f t="shared" si="18"/>
        <v>0</v>
      </c>
      <c r="K98" s="20">
        <f t="shared" si="19"/>
        <v>0</v>
      </c>
      <c r="L98" s="94">
        <f t="shared" si="20"/>
        <v>0</v>
      </c>
      <c r="M98" s="78">
        <f t="shared" si="21"/>
        <v>0</v>
      </c>
      <c r="N98" s="79">
        <f t="shared" si="22"/>
        <v>0</v>
      </c>
      <c r="O98" s="94">
        <f t="shared" si="23"/>
        <v>0</v>
      </c>
      <c r="P98" s="106">
        <f t="shared" si="24"/>
        <v>0</v>
      </c>
      <c r="Q98" s="94">
        <f t="shared" si="13"/>
        <v>0</v>
      </c>
      <c r="R98" s="78">
        <f t="shared" si="14"/>
        <v>0</v>
      </c>
      <c r="S98" s="84">
        <f t="shared" si="15"/>
        <v>0</v>
      </c>
      <c r="T98"/>
      <c r="U98"/>
      <c r="V98"/>
    </row>
    <row r="99" spans="1:22" s="16" customFormat="1" ht="15" customHeight="1" outlineLevel="1" x14ac:dyDescent="0.45">
      <c r="A99"/>
      <c r="B99" s="75"/>
      <c r="C99" s="78"/>
      <c r="D99" s="105"/>
      <c r="E99" s="106"/>
      <c r="F99" s="71"/>
      <c r="G99" s="78">
        <f t="shared" si="25"/>
        <v>0</v>
      </c>
      <c r="H99" s="3">
        <f t="shared" si="16"/>
        <v>0</v>
      </c>
      <c r="I99" s="20">
        <f t="shared" si="17"/>
        <v>0</v>
      </c>
      <c r="J99" s="94">
        <f t="shared" si="18"/>
        <v>0</v>
      </c>
      <c r="K99" s="20">
        <f t="shared" si="19"/>
        <v>0</v>
      </c>
      <c r="L99" s="94">
        <f t="shared" si="20"/>
        <v>0</v>
      </c>
      <c r="M99" s="78">
        <f t="shared" si="21"/>
        <v>0</v>
      </c>
      <c r="N99" s="79">
        <f t="shared" si="22"/>
        <v>0</v>
      </c>
      <c r="O99" s="94">
        <f t="shared" si="23"/>
        <v>0</v>
      </c>
      <c r="P99" s="106">
        <f t="shared" si="24"/>
        <v>0</v>
      </c>
      <c r="Q99" s="94">
        <f t="shared" si="13"/>
        <v>0</v>
      </c>
      <c r="R99" s="78">
        <f t="shared" si="14"/>
        <v>0</v>
      </c>
      <c r="S99" s="84">
        <f t="shared" si="15"/>
        <v>0</v>
      </c>
      <c r="T99"/>
      <c r="U99"/>
      <c r="V99"/>
    </row>
    <row r="100" spans="1:22" s="16" customFormat="1" ht="15" customHeight="1" outlineLevel="1" x14ac:dyDescent="0.45">
      <c r="A100"/>
      <c r="B100" s="75"/>
      <c r="C100" s="78"/>
      <c r="D100" s="105"/>
      <c r="E100" s="106"/>
      <c r="F100" s="71"/>
      <c r="G100" s="78">
        <f t="shared" si="25"/>
        <v>0</v>
      </c>
      <c r="H100" s="3">
        <f t="shared" si="16"/>
        <v>0</v>
      </c>
      <c r="I100" s="20">
        <f t="shared" si="17"/>
        <v>0</v>
      </c>
      <c r="J100" s="94">
        <f t="shared" si="18"/>
        <v>0</v>
      </c>
      <c r="K100" s="20">
        <f t="shared" si="19"/>
        <v>0</v>
      </c>
      <c r="L100" s="94">
        <f t="shared" si="20"/>
        <v>0</v>
      </c>
      <c r="M100" s="78">
        <f t="shared" si="21"/>
        <v>0</v>
      </c>
      <c r="N100" s="79">
        <f t="shared" si="22"/>
        <v>0</v>
      </c>
      <c r="O100" s="94">
        <f t="shared" si="23"/>
        <v>0</v>
      </c>
      <c r="P100" s="106">
        <f t="shared" si="24"/>
        <v>0</v>
      </c>
      <c r="Q100" s="94">
        <f t="shared" si="13"/>
        <v>0</v>
      </c>
      <c r="R100" s="78">
        <f t="shared" si="14"/>
        <v>0</v>
      </c>
      <c r="S100" s="84">
        <f t="shared" si="15"/>
        <v>0</v>
      </c>
      <c r="T100"/>
      <c r="U100"/>
      <c r="V100"/>
    </row>
    <row r="101" spans="1:22" s="16" customFormat="1" ht="15" customHeight="1" outlineLevel="1" x14ac:dyDescent="0.45">
      <c r="A101"/>
      <c r="B101" s="75"/>
      <c r="C101" s="78"/>
      <c r="D101" s="105"/>
      <c r="E101" s="106"/>
      <c r="F101" s="71"/>
      <c r="G101" s="78">
        <f t="shared" si="25"/>
        <v>0</v>
      </c>
      <c r="H101" s="3">
        <f t="shared" si="16"/>
        <v>0</v>
      </c>
      <c r="I101" s="20">
        <f t="shared" si="17"/>
        <v>0</v>
      </c>
      <c r="J101" s="94">
        <f t="shared" si="18"/>
        <v>0</v>
      </c>
      <c r="K101" s="20">
        <f t="shared" si="19"/>
        <v>0</v>
      </c>
      <c r="L101" s="94">
        <f t="shared" si="20"/>
        <v>0</v>
      </c>
      <c r="M101" s="78">
        <f t="shared" si="21"/>
        <v>0</v>
      </c>
      <c r="N101" s="79">
        <f t="shared" si="22"/>
        <v>0</v>
      </c>
      <c r="O101" s="94">
        <f t="shared" si="23"/>
        <v>0</v>
      </c>
      <c r="P101" s="106">
        <f t="shared" si="24"/>
        <v>0</v>
      </c>
      <c r="Q101" s="94">
        <f t="shared" si="13"/>
        <v>0</v>
      </c>
      <c r="R101" s="78">
        <f t="shared" si="14"/>
        <v>0</v>
      </c>
      <c r="S101" s="84">
        <f t="shared" si="15"/>
        <v>0</v>
      </c>
      <c r="T101"/>
      <c r="U101"/>
      <c r="V101"/>
    </row>
    <row r="102" spans="1:22" s="16" customFormat="1" ht="15" customHeight="1" outlineLevel="1" x14ac:dyDescent="0.45">
      <c r="A102"/>
      <c r="B102" s="75"/>
      <c r="C102" s="78"/>
      <c r="D102" s="105"/>
      <c r="E102" s="106"/>
      <c r="F102" s="71"/>
      <c r="G102" s="78">
        <f t="shared" si="25"/>
        <v>0</v>
      </c>
      <c r="H102" s="3">
        <f t="shared" si="16"/>
        <v>0</v>
      </c>
      <c r="I102" s="20">
        <f t="shared" si="17"/>
        <v>0</v>
      </c>
      <c r="J102" s="94">
        <f t="shared" si="18"/>
        <v>0</v>
      </c>
      <c r="K102" s="20">
        <f t="shared" si="19"/>
        <v>0</v>
      </c>
      <c r="L102" s="94">
        <f t="shared" si="20"/>
        <v>0</v>
      </c>
      <c r="M102" s="78">
        <f t="shared" si="21"/>
        <v>0</v>
      </c>
      <c r="N102" s="79">
        <f t="shared" si="22"/>
        <v>0</v>
      </c>
      <c r="O102" s="94">
        <f t="shared" si="23"/>
        <v>0</v>
      </c>
      <c r="P102" s="106">
        <f t="shared" si="24"/>
        <v>0</v>
      </c>
      <c r="Q102" s="94">
        <f t="shared" si="13"/>
        <v>0</v>
      </c>
      <c r="R102" s="78">
        <f t="shared" si="14"/>
        <v>0</v>
      </c>
      <c r="S102" s="84">
        <f t="shared" si="15"/>
        <v>0</v>
      </c>
      <c r="T102"/>
      <c r="U102"/>
      <c r="V102"/>
    </row>
    <row r="103" spans="1:22" s="16" customFormat="1" ht="15" customHeight="1" outlineLevel="1" x14ac:dyDescent="0.45">
      <c r="A103"/>
      <c r="B103" s="75"/>
      <c r="C103" s="78"/>
      <c r="D103" s="105"/>
      <c r="E103" s="106"/>
      <c r="F103" s="71"/>
      <c r="G103" s="78">
        <f t="shared" si="25"/>
        <v>0</v>
      </c>
      <c r="H103" s="3">
        <f t="shared" si="16"/>
        <v>0</v>
      </c>
      <c r="I103" s="20">
        <f t="shared" si="17"/>
        <v>0</v>
      </c>
      <c r="J103" s="94">
        <f t="shared" si="18"/>
        <v>0</v>
      </c>
      <c r="K103" s="20">
        <f t="shared" si="19"/>
        <v>0</v>
      </c>
      <c r="L103" s="94">
        <f t="shared" si="20"/>
        <v>0</v>
      </c>
      <c r="M103" s="78">
        <f t="shared" si="21"/>
        <v>0</v>
      </c>
      <c r="N103" s="79">
        <f t="shared" si="22"/>
        <v>0</v>
      </c>
      <c r="O103" s="94">
        <f t="shared" si="23"/>
        <v>0</v>
      </c>
      <c r="P103" s="106">
        <f t="shared" si="24"/>
        <v>0</v>
      </c>
      <c r="Q103" s="94">
        <f t="shared" si="13"/>
        <v>0</v>
      </c>
      <c r="R103" s="78">
        <f t="shared" si="14"/>
        <v>0</v>
      </c>
      <c r="S103" s="84">
        <f t="shared" si="15"/>
        <v>0</v>
      </c>
      <c r="T103"/>
      <c r="U103"/>
      <c r="V103"/>
    </row>
    <row r="104" spans="1:22" s="16" customFormat="1" ht="15" customHeight="1" outlineLevel="1" x14ac:dyDescent="0.45">
      <c r="A104"/>
      <c r="B104" s="75"/>
      <c r="C104" s="78"/>
      <c r="D104" s="105"/>
      <c r="E104" s="106"/>
      <c r="F104" s="71"/>
      <c r="G104" s="78">
        <f t="shared" si="25"/>
        <v>0</v>
      </c>
      <c r="H104" s="3">
        <f t="shared" si="16"/>
        <v>0</v>
      </c>
      <c r="I104" s="20">
        <f t="shared" si="17"/>
        <v>0</v>
      </c>
      <c r="J104" s="94">
        <f t="shared" si="18"/>
        <v>0</v>
      </c>
      <c r="K104" s="20">
        <f t="shared" si="19"/>
        <v>0</v>
      </c>
      <c r="L104" s="94">
        <f t="shared" si="20"/>
        <v>0</v>
      </c>
      <c r="M104" s="78">
        <f t="shared" si="21"/>
        <v>0</v>
      </c>
      <c r="N104" s="79">
        <f t="shared" si="22"/>
        <v>0</v>
      </c>
      <c r="O104" s="94">
        <f t="shared" si="23"/>
        <v>0</v>
      </c>
      <c r="P104" s="106">
        <f t="shared" si="24"/>
        <v>0</v>
      </c>
      <c r="Q104" s="94">
        <f t="shared" si="13"/>
        <v>0</v>
      </c>
      <c r="R104" s="78">
        <f t="shared" si="14"/>
        <v>0</v>
      </c>
      <c r="S104" s="84">
        <f t="shared" si="15"/>
        <v>0</v>
      </c>
      <c r="T104"/>
      <c r="U104"/>
      <c r="V104"/>
    </row>
    <row r="105" spans="1:22" s="16" customFormat="1" ht="15" customHeight="1" outlineLevel="1" x14ac:dyDescent="0.45">
      <c r="A105"/>
      <c r="B105" s="75"/>
      <c r="C105" s="78"/>
      <c r="D105" s="105"/>
      <c r="E105" s="106"/>
      <c r="F105" s="71"/>
      <c r="G105" s="78">
        <f t="shared" si="25"/>
        <v>0</v>
      </c>
      <c r="H105" s="3">
        <f t="shared" si="16"/>
        <v>0</v>
      </c>
      <c r="I105" s="20">
        <f t="shared" si="17"/>
        <v>0</v>
      </c>
      <c r="J105" s="94">
        <f t="shared" si="18"/>
        <v>0</v>
      </c>
      <c r="K105" s="20">
        <f t="shared" si="19"/>
        <v>0</v>
      </c>
      <c r="L105" s="94">
        <f t="shared" si="20"/>
        <v>0</v>
      </c>
      <c r="M105" s="78">
        <f t="shared" si="21"/>
        <v>0</v>
      </c>
      <c r="N105" s="79">
        <f t="shared" si="22"/>
        <v>0</v>
      </c>
      <c r="O105" s="94">
        <f t="shared" si="23"/>
        <v>0</v>
      </c>
      <c r="P105" s="106">
        <f t="shared" si="24"/>
        <v>0</v>
      </c>
      <c r="Q105" s="94">
        <f t="shared" si="13"/>
        <v>0</v>
      </c>
      <c r="R105" s="78">
        <f t="shared" si="14"/>
        <v>0</v>
      </c>
      <c r="S105" s="84">
        <f t="shared" si="15"/>
        <v>0</v>
      </c>
      <c r="T105"/>
      <c r="U105"/>
      <c r="V105"/>
    </row>
    <row r="106" spans="1:22" s="16" customFormat="1" ht="15" customHeight="1" outlineLevel="1" x14ac:dyDescent="0.45">
      <c r="A106"/>
      <c r="B106" s="75"/>
      <c r="C106" s="78"/>
      <c r="D106" s="105"/>
      <c r="E106" s="106"/>
      <c r="F106" s="71"/>
      <c r="G106" s="78">
        <f t="shared" si="25"/>
        <v>0</v>
      </c>
      <c r="H106" s="3">
        <f t="shared" si="16"/>
        <v>0</v>
      </c>
      <c r="I106" s="20">
        <f t="shared" si="17"/>
        <v>0</v>
      </c>
      <c r="J106" s="94">
        <f t="shared" si="18"/>
        <v>0</v>
      </c>
      <c r="K106" s="20">
        <f t="shared" si="19"/>
        <v>0</v>
      </c>
      <c r="L106" s="94">
        <f t="shared" si="20"/>
        <v>0</v>
      </c>
      <c r="M106" s="78">
        <f t="shared" si="21"/>
        <v>0</v>
      </c>
      <c r="N106" s="79">
        <f t="shared" si="22"/>
        <v>0</v>
      </c>
      <c r="O106" s="94">
        <f t="shared" si="23"/>
        <v>0</v>
      </c>
      <c r="P106" s="106">
        <f t="shared" si="24"/>
        <v>0</v>
      </c>
      <c r="Q106" s="94">
        <f t="shared" si="13"/>
        <v>0</v>
      </c>
      <c r="R106" s="78">
        <f t="shared" si="14"/>
        <v>0</v>
      </c>
      <c r="S106" s="84">
        <f t="shared" si="15"/>
        <v>0</v>
      </c>
      <c r="T106"/>
      <c r="U106"/>
      <c r="V106"/>
    </row>
    <row r="107" spans="1:22" s="16" customFormat="1" ht="15" customHeight="1" outlineLevel="1" x14ac:dyDescent="0.45">
      <c r="A107"/>
      <c r="B107" s="75"/>
      <c r="C107" s="78"/>
      <c r="D107" s="105"/>
      <c r="E107" s="106"/>
      <c r="F107" s="71"/>
      <c r="G107" s="78">
        <f t="shared" si="25"/>
        <v>0</v>
      </c>
      <c r="H107" s="3">
        <f t="shared" si="16"/>
        <v>0</v>
      </c>
      <c r="I107" s="20">
        <f t="shared" si="17"/>
        <v>0</v>
      </c>
      <c r="J107" s="94">
        <f t="shared" si="18"/>
        <v>0</v>
      </c>
      <c r="K107" s="20">
        <f t="shared" si="19"/>
        <v>0</v>
      </c>
      <c r="L107" s="94">
        <f t="shared" si="20"/>
        <v>0</v>
      </c>
      <c r="M107" s="78">
        <f t="shared" si="21"/>
        <v>0</v>
      </c>
      <c r="N107" s="79">
        <f t="shared" si="22"/>
        <v>0</v>
      </c>
      <c r="O107" s="94">
        <f t="shared" si="23"/>
        <v>0</v>
      </c>
      <c r="P107" s="106">
        <f t="shared" si="24"/>
        <v>0</v>
      </c>
      <c r="Q107" s="94">
        <f t="shared" si="13"/>
        <v>0</v>
      </c>
      <c r="R107" s="78">
        <f t="shared" si="14"/>
        <v>0</v>
      </c>
      <c r="S107" s="84">
        <f t="shared" si="15"/>
        <v>0</v>
      </c>
      <c r="T107"/>
      <c r="U107"/>
      <c r="V107"/>
    </row>
    <row r="108" spans="1:22" s="16" customFormat="1" ht="15" customHeight="1" outlineLevel="1" x14ac:dyDescent="0.45">
      <c r="A108"/>
      <c r="B108" s="75"/>
      <c r="C108" s="78"/>
      <c r="D108" s="105"/>
      <c r="E108" s="106"/>
      <c r="F108" s="71"/>
      <c r="G108" s="78">
        <f t="shared" si="25"/>
        <v>0</v>
      </c>
      <c r="H108" s="3">
        <f t="shared" si="16"/>
        <v>0</v>
      </c>
      <c r="I108" s="20">
        <f t="shared" si="17"/>
        <v>0</v>
      </c>
      <c r="J108" s="94">
        <f t="shared" si="18"/>
        <v>0</v>
      </c>
      <c r="K108" s="20">
        <f t="shared" si="19"/>
        <v>0</v>
      </c>
      <c r="L108" s="94">
        <f t="shared" si="20"/>
        <v>0</v>
      </c>
      <c r="M108" s="78">
        <f t="shared" si="21"/>
        <v>0</v>
      </c>
      <c r="N108" s="79">
        <f t="shared" si="22"/>
        <v>0</v>
      </c>
      <c r="O108" s="94">
        <f t="shared" si="23"/>
        <v>0</v>
      </c>
      <c r="P108" s="106">
        <f t="shared" si="24"/>
        <v>0</v>
      </c>
      <c r="Q108" s="94">
        <f t="shared" si="13"/>
        <v>0</v>
      </c>
      <c r="R108" s="78">
        <f t="shared" si="14"/>
        <v>0</v>
      </c>
      <c r="S108" s="84">
        <f t="shared" si="15"/>
        <v>0</v>
      </c>
      <c r="T108"/>
      <c r="U108"/>
      <c r="V108"/>
    </row>
    <row r="109" spans="1:22" s="16" customFormat="1" ht="15" customHeight="1" outlineLevel="1" x14ac:dyDescent="0.45">
      <c r="A109"/>
      <c r="B109" s="75"/>
      <c r="C109" s="78"/>
      <c r="D109" s="105"/>
      <c r="E109" s="106"/>
      <c r="F109" s="71"/>
      <c r="G109" s="78">
        <f t="shared" si="25"/>
        <v>0</v>
      </c>
      <c r="H109" s="3">
        <f t="shared" si="16"/>
        <v>0</v>
      </c>
      <c r="I109" s="20">
        <f t="shared" si="17"/>
        <v>0</v>
      </c>
      <c r="J109" s="94">
        <f t="shared" si="18"/>
        <v>0</v>
      </c>
      <c r="K109" s="20">
        <f t="shared" si="19"/>
        <v>0</v>
      </c>
      <c r="L109" s="94">
        <f t="shared" si="20"/>
        <v>0</v>
      </c>
      <c r="M109" s="78">
        <f t="shared" si="21"/>
        <v>0</v>
      </c>
      <c r="N109" s="79">
        <f t="shared" si="22"/>
        <v>0</v>
      </c>
      <c r="O109" s="94">
        <f t="shared" si="23"/>
        <v>0</v>
      </c>
      <c r="P109" s="106">
        <f t="shared" si="24"/>
        <v>0</v>
      </c>
      <c r="Q109" s="94">
        <f t="shared" si="13"/>
        <v>0</v>
      </c>
      <c r="R109" s="78">
        <f t="shared" si="14"/>
        <v>0</v>
      </c>
      <c r="S109" s="84">
        <f t="shared" si="15"/>
        <v>0</v>
      </c>
      <c r="T109"/>
      <c r="U109"/>
      <c r="V109"/>
    </row>
    <row r="110" spans="1:22" s="16" customFormat="1" ht="15" customHeight="1" outlineLevel="1" x14ac:dyDescent="0.45">
      <c r="A110"/>
      <c r="B110" s="75"/>
      <c r="C110" s="78"/>
      <c r="D110" s="105"/>
      <c r="E110" s="106"/>
      <c r="F110" s="71"/>
      <c r="G110" s="78">
        <f t="shared" si="25"/>
        <v>0</v>
      </c>
      <c r="H110" s="3">
        <f t="shared" si="16"/>
        <v>0</v>
      </c>
      <c r="I110" s="20">
        <f t="shared" si="17"/>
        <v>0</v>
      </c>
      <c r="J110" s="94">
        <f t="shared" si="18"/>
        <v>0</v>
      </c>
      <c r="K110" s="20">
        <f t="shared" si="19"/>
        <v>0</v>
      </c>
      <c r="L110" s="94">
        <f t="shared" si="20"/>
        <v>0</v>
      </c>
      <c r="M110" s="78">
        <f t="shared" si="21"/>
        <v>0</v>
      </c>
      <c r="N110" s="79">
        <f t="shared" si="22"/>
        <v>0</v>
      </c>
      <c r="O110" s="94">
        <f t="shared" si="23"/>
        <v>0</v>
      </c>
      <c r="P110" s="106">
        <f t="shared" si="24"/>
        <v>0</v>
      </c>
      <c r="Q110" s="94">
        <f t="shared" si="13"/>
        <v>0</v>
      </c>
      <c r="R110" s="78">
        <f t="shared" si="14"/>
        <v>0</v>
      </c>
      <c r="S110" s="84">
        <f t="shared" si="15"/>
        <v>0</v>
      </c>
      <c r="T110"/>
      <c r="U110"/>
      <c r="V110"/>
    </row>
    <row r="111" spans="1:22" s="16" customFormat="1" ht="15" customHeight="1" outlineLevel="1" x14ac:dyDescent="0.45">
      <c r="A111"/>
      <c r="B111" s="75"/>
      <c r="C111" s="78"/>
      <c r="D111" s="105"/>
      <c r="E111" s="106"/>
      <c r="F111" s="71"/>
      <c r="G111" s="78">
        <f t="shared" si="25"/>
        <v>0</v>
      </c>
      <c r="H111" s="3">
        <f t="shared" si="16"/>
        <v>0</v>
      </c>
      <c r="I111" s="20">
        <f t="shared" si="17"/>
        <v>0</v>
      </c>
      <c r="J111" s="94">
        <f t="shared" si="18"/>
        <v>0</v>
      </c>
      <c r="K111" s="20">
        <f t="shared" si="19"/>
        <v>0</v>
      </c>
      <c r="L111" s="94">
        <f t="shared" si="20"/>
        <v>0</v>
      </c>
      <c r="M111" s="78">
        <f t="shared" si="21"/>
        <v>0</v>
      </c>
      <c r="N111" s="79">
        <f t="shared" si="22"/>
        <v>0</v>
      </c>
      <c r="O111" s="94">
        <f t="shared" si="23"/>
        <v>0</v>
      </c>
      <c r="P111" s="106">
        <f t="shared" si="24"/>
        <v>0</v>
      </c>
      <c r="Q111" s="94">
        <f t="shared" si="13"/>
        <v>0</v>
      </c>
      <c r="R111" s="78">
        <f t="shared" si="14"/>
        <v>0</v>
      </c>
      <c r="S111" s="84">
        <f t="shared" si="15"/>
        <v>0</v>
      </c>
      <c r="T111"/>
      <c r="U111"/>
      <c r="V111"/>
    </row>
    <row r="112" spans="1:22" s="16" customFormat="1" ht="15" customHeight="1" outlineLevel="1" x14ac:dyDescent="0.45">
      <c r="A112"/>
      <c r="B112" s="75"/>
      <c r="C112" s="78"/>
      <c r="D112" s="105"/>
      <c r="E112" s="106"/>
      <c r="F112" s="71"/>
      <c r="G112" s="78">
        <f t="shared" si="25"/>
        <v>0</v>
      </c>
      <c r="H112" s="3">
        <f t="shared" si="16"/>
        <v>0</v>
      </c>
      <c r="I112" s="20">
        <f t="shared" si="17"/>
        <v>0</v>
      </c>
      <c r="J112" s="94">
        <f t="shared" si="18"/>
        <v>0</v>
      </c>
      <c r="K112" s="20">
        <f t="shared" si="19"/>
        <v>0</v>
      </c>
      <c r="L112" s="94">
        <f t="shared" si="20"/>
        <v>0</v>
      </c>
      <c r="M112" s="78">
        <f t="shared" si="21"/>
        <v>0</v>
      </c>
      <c r="N112" s="79">
        <f t="shared" si="22"/>
        <v>0</v>
      </c>
      <c r="O112" s="94">
        <f t="shared" si="23"/>
        <v>0</v>
      </c>
      <c r="P112" s="106">
        <f t="shared" si="24"/>
        <v>0</v>
      </c>
      <c r="Q112" s="94">
        <f t="shared" si="13"/>
        <v>0</v>
      </c>
      <c r="R112" s="78">
        <f t="shared" si="14"/>
        <v>0</v>
      </c>
      <c r="S112" s="84">
        <f t="shared" si="15"/>
        <v>0</v>
      </c>
      <c r="T112"/>
      <c r="U112"/>
      <c r="V112"/>
    </row>
    <row r="113" spans="1:22" s="16" customFormat="1" ht="15" customHeight="1" outlineLevel="1" x14ac:dyDescent="0.45">
      <c r="A113"/>
      <c r="B113" s="75"/>
      <c r="C113" s="78"/>
      <c r="D113" s="105"/>
      <c r="E113" s="106"/>
      <c r="F113" s="71"/>
      <c r="G113" s="78">
        <f t="shared" si="25"/>
        <v>0</v>
      </c>
      <c r="H113" s="3">
        <f t="shared" si="16"/>
        <v>0</v>
      </c>
      <c r="I113" s="20">
        <f t="shared" si="17"/>
        <v>0</v>
      </c>
      <c r="J113" s="94">
        <f t="shared" si="18"/>
        <v>0</v>
      </c>
      <c r="K113" s="20">
        <f t="shared" si="19"/>
        <v>0</v>
      </c>
      <c r="L113" s="94">
        <f t="shared" si="20"/>
        <v>0</v>
      </c>
      <c r="M113" s="78">
        <f t="shared" si="21"/>
        <v>0</v>
      </c>
      <c r="N113" s="79">
        <f t="shared" si="22"/>
        <v>0</v>
      </c>
      <c r="O113" s="94">
        <f t="shared" si="23"/>
        <v>0</v>
      </c>
      <c r="P113" s="106">
        <f t="shared" si="24"/>
        <v>0</v>
      </c>
      <c r="Q113" s="94">
        <f t="shared" si="13"/>
        <v>0</v>
      </c>
      <c r="R113" s="78">
        <f t="shared" si="14"/>
        <v>0</v>
      </c>
      <c r="S113" s="84">
        <f t="shared" si="15"/>
        <v>0</v>
      </c>
      <c r="T113"/>
      <c r="U113"/>
      <c r="V113"/>
    </row>
    <row r="114" spans="1:22" s="16" customFormat="1" ht="15" customHeight="1" outlineLevel="1" x14ac:dyDescent="0.45">
      <c r="A114"/>
      <c r="B114" s="75"/>
      <c r="C114" s="78"/>
      <c r="D114" s="105"/>
      <c r="E114" s="106"/>
      <c r="F114" s="71"/>
      <c r="G114" s="78">
        <f t="shared" si="25"/>
        <v>0</v>
      </c>
      <c r="H114" s="3">
        <f t="shared" si="16"/>
        <v>0</v>
      </c>
      <c r="I114" s="20">
        <f t="shared" si="17"/>
        <v>0</v>
      </c>
      <c r="J114" s="94">
        <f t="shared" si="18"/>
        <v>0</v>
      </c>
      <c r="K114" s="20">
        <f t="shared" si="19"/>
        <v>0</v>
      </c>
      <c r="L114" s="94">
        <f t="shared" si="20"/>
        <v>0</v>
      </c>
      <c r="M114" s="78">
        <f t="shared" si="21"/>
        <v>0</v>
      </c>
      <c r="N114" s="79">
        <f t="shared" si="22"/>
        <v>0</v>
      </c>
      <c r="O114" s="94">
        <f t="shared" si="23"/>
        <v>0</v>
      </c>
      <c r="P114" s="106">
        <f t="shared" si="24"/>
        <v>0</v>
      </c>
      <c r="Q114" s="94">
        <f t="shared" si="13"/>
        <v>0</v>
      </c>
      <c r="R114" s="78">
        <f t="shared" si="14"/>
        <v>0</v>
      </c>
      <c r="S114" s="84">
        <f t="shared" si="15"/>
        <v>0</v>
      </c>
      <c r="T114"/>
      <c r="U114"/>
      <c r="V114"/>
    </row>
    <row r="115" spans="1:22" s="16" customFormat="1" ht="15" customHeight="1" outlineLevel="1" x14ac:dyDescent="0.45">
      <c r="A115"/>
      <c r="B115" s="75"/>
      <c r="C115" s="78"/>
      <c r="D115" s="105"/>
      <c r="E115" s="106"/>
      <c r="F115" s="71"/>
      <c r="G115" s="78">
        <f t="shared" si="25"/>
        <v>0</v>
      </c>
      <c r="H115" s="3">
        <f t="shared" si="16"/>
        <v>0</v>
      </c>
      <c r="I115" s="20">
        <f t="shared" si="17"/>
        <v>0</v>
      </c>
      <c r="J115" s="94">
        <f t="shared" si="18"/>
        <v>0</v>
      </c>
      <c r="K115" s="20">
        <f t="shared" si="19"/>
        <v>0</v>
      </c>
      <c r="L115" s="94">
        <f t="shared" si="20"/>
        <v>0</v>
      </c>
      <c r="M115" s="78">
        <f t="shared" si="21"/>
        <v>0</v>
      </c>
      <c r="N115" s="79">
        <f t="shared" si="22"/>
        <v>0</v>
      </c>
      <c r="O115" s="94">
        <f t="shared" si="23"/>
        <v>0</v>
      </c>
      <c r="P115" s="106">
        <f t="shared" si="24"/>
        <v>0</v>
      </c>
      <c r="Q115" s="94">
        <f t="shared" si="13"/>
        <v>0</v>
      </c>
      <c r="R115" s="78">
        <f t="shared" si="14"/>
        <v>0</v>
      </c>
      <c r="S115" s="84">
        <f t="shared" si="15"/>
        <v>0</v>
      </c>
      <c r="T115"/>
      <c r="U115"/>
      <c r="V115"/>
    </row>
    <row r="116" spans="1:22" s="16" customFormat="1" ht="15" customHeight="1" outlineLevel="1" x14ac:dyDescent="0.45">
      <c r="A116"/>
      <c r="B116" s="75"/>
      <c r="C116" s="78"/>
      <c r="D116" s="105"/>
      <c r="E116" s="106"/>
      <c r="F116" s="71"/>
      <c r="G116" s="78">
        <f t="shared" si="25"/>
        <v>0</v>
      </c>
      <c r="H116" s="3">
        <f t="shared" si="16"/>
        <v>0</v>
      </c>
      <c r="I116" s="20">
        <f t="shared" si="17"/>
        <v>0</v>
      </c>
      <c r="J116" s="94">
        <f t="shared" si="18"/>
        <v>0</v>
      </c>
      <c r="K116" s="20">
        <f t="shared" si="19"/>
        <v>0</v>
      </c>
      <c r="L116" s="94">
        <f t="shared" si="20"/>
        <v>0</v>
      </c>
      <c r="M116" s="78">
        <f t="shared" si="21"/>
        <v>0</v>
      </c>
      <c r="N116" s="79">
        <f t="shared" si="22"/>
        <v>0</v>
      </c>
      <c r="O116" s="94">
        <f t="shared" si="23"/>
        <v>0</v>
      </c>
      <c r="P116" s="106">
        <f t="shared" si="24"/>
        <v>0</v>
      </c>
      <c r="Q116" s="94">
        <f t="shared" si="13"/>
        <v>0</v>
      </c>
      <c r="R116" s="78">
        <f t="shared" si="14"/>
        <v>0</v>
      </c>
      <c r="S116" s="84">
        <f t="shared" si="15"/>
        <v>0</v>
      </c>
      <c r="T116"/>
      <c r="U116"/>
      <c r="V116"/>
    </row>
    <row r="117" spans="1:22" s="16" customFormat="1" ht="15" customHeight="1" outlineLevel="1" x14ac:dyDescent="0.45">
      <c r="A117"/>
      <c r="B117" s="75"/>
      <c r="C117" s="78"/>
      <c r="D117" s="105"/>
      <c r="E117" s="106"/>
      <c r="F117" s="71"/>
      <c r="G117" s="78">
        <f t="shared" si="25"/>
        <v>0</v>
      </c>
      <c r="H117" s="3">
        <f t="shared" si="16"/>
        <v>0</v>
      </c>
      <c r="I117" s="20">
        <f t="shared" si="17"/>
        <v>0</v>
      </c>
      <c r="J117" s="94">
        <f t="shared" si="18"/>
        <v>0</v>
      </c>
      <c r="K117" s="20">
        <f t="shared" si="19"/>
        <v>0</v>
      </c>
      <c r="L117" s="94">
        <f t="shared" si="20"/>
        <v>0</v>
      </c>
      <c r="M117" s="78">
        <f t="shared" si="21"/>
        <v>0</v>
      </c>
      <c r="N117" s="79">
        <f t="shared" si="22"/>
        <v>0</v>
      </c>
      <c r="O117" s="94">
        <f t="shared" si="23"/>
        <v>0</v>
      </c>
      <c r="P117" s="106">
        <f t="shared" si="24"/>
        <v>0</v>
      </c>
      <c r="Q117" s="94">
        <f t="shared" si="13"/>
        <v>0</v>
      </c>
      <c r="R117" s="78">
        <f t="shared" si="14"/>
        <v>0</v>
      </c>
      <c r="S117" s="84">
        <f t="shared" si="15"/>
        <v>0</v>
      </c>
      <c r="T117"/>
      <c r="U117"/>
      <c r="V117"/>
    </row>
    <row r="118" spans="1:22" s="16" customFormat="1" ht="15" customHeight="1" outlineLevel="1" x14ac:dyDescent="0.45">
      <c r="A118"/>
      <c r="B118" s="75"/>
      <c r="C118" s="78"/>
      <c r="D118" s="105"/>
      <c r="E118" s="106"/>
      <c r="F118" s="71"/>
      <c r="G118" s="78">
        <f t="shared" si="25"/>
        <v>0</v>
      </c>
      <c r="H118" s="3">
        <f t="shared" si="16"/>
        <v>0</v>
      </c>
      <c r="I118" s="20">
        <f t="shared" si="17"/>
        <v>0</v>
      </c>
      <c r="J118" s="94">
        <f t="shared" si="18"/>
        <v>0</v>
      </c>
      <c r="K118" s="20">
        <f t="shared" si="19"/>
        <v>0</v>
      </c>
      <c r="L118" s="94">
        <f t="shared" si="20"/>
        <v>0</v>
      </c>
      <c r="M118" s="78">
        <f t="shared" si="21"/>
        <v>0</v>
      </c>
      <c r="N118" s="79">
        <f t="shared" si="22"/>
        <v>0</v>
      </c>
      <c r="O118" s="94">
        <f t="shared" si="23"/>
        <v>0</v>
      </c>
      <c r="P118" s="106">
        <f t="shared" si="24"/>
        <v>0</v>
      </c>
      <c r="Q118" s="94">
        <f t="shared" si="13"/>
        <v>0</v>
      </c>
      <c r="R118" s="78">
        <f t="shared" si="14"/>
        <v>0</v>
      </c>
      <c r="S118" s="84">
        <f t="shared" si="15"/>
        <v>0</v>
      </c>
      <c r="T118"/>
      <c r="U118"/>
      <c r="V118"/>
    </row>
    <row r="119" spans="1:22" s="16" customFormat="1" ht="15" customHeight="1" outlineLevel="1" x14ac:dyDescent="0.45">
      <c r="A119"/>
      <c r="B119" s="75"/>
      <c r="C119" s="78"/>
      <c r="D119" s="105"/>
      <c r="E119" s="106"/>
      <c r="F119" s="71"/>
      <c r="G119" s="78">
        <f t="shared" si="25"/>
        <v>0</v>
      </c>
      <c r="H119" s="3">
        <f t="shared" si="16"/>
        <v>0</v>
      </c>
      <c r="I119" s="20">
        <f t="shared" si="17"/>
        <v>0</v>
      </c>
      <c r="J119" s="94">
        <f t="shared" si="18"/>
        <v>0</v>
      </c>
      <c r="K119" s="20">
        <f t="shared" si="19"/>
        <v>0</v>
      </c>
      <c r="L119" s="94">
        <f t="shared" si="20"/>
        <v>0</v>
      </c>
      <c r="M119" s="78">
        <f t="shared" si="21"/>
        <v>0</v>
      </c>
      <c r="N119" s="79">
        <f t="shared" si="22"/>
        <v>0</v>
      </c>
      <c r="O119" s="94">
        <f t="shared" si="23"/>
        <v>0</v>
      </c>
      <c r="P119" s="106">
        <f t="shared" si="24"/>
        <v>0</v>
      </c>
      <c r="Q119" s="94">
        <f t="shared" si="13"/>
        <v>0</v>
      </c>
      <c r="R119" s="78">
        <f t="shared" si="14"/>
        <v>0</v>
      </c>
      <c r="S119" s="84">
        <f t="shared" si="15"/>
        <v>0</v>
      </c>
      <c r="T119"/>
      <c r="U119"/>
      <c r="V119"/>
    </row>
    <row r="120" spans="1:22" s="16" customFormat="1" ht="15" customHeight="1" outlineLevel="1" x14ac:dyDescent="0.45">
      <c r="A120"/>
      <c r="B120" s="75"/>
      <c r="C120" s="78"/>
      <c r="D120" s="105"/>
      <c r="E120" s="106"/>
      <c r="F120" s="71"/>
      <c r="G120" s="78">
        <f t="shared" si="25"/>
        <v>0</v>
      </c>
      <c r="H120" s="3">
        <f t="shared" si="16"/>
        <v>0</v>
      </c>
      <c r="I120" s="20">
        <f t="shared" si="17"/>
        <v>0</v>
      </c>
      <c r="J120" s="94">
        <f t="shared" si="18"/>
        <v>0</v>
      </c>
      <c r="K120" s="20">
        <f t="shared" si="19"/>
        <v>0</v>
      </c>
      <c r="L120" s="94">
        <f t="shared" si="20"/>
        <v>0</v>
      </c>
      <c r="M120" s="78">
        <f t="shared" si="21"/>
        <v>0</v>
      </c>
      <c r="N120" s="79">
        <f t="shared" si="22"/>
        <v>0</v>
      </c>
      <c r="O120" s="94">
        <f t="shared" si="23"/>
        <v>0</v>
      </c>
      <c r="P120" s="106">
        <f t="shared" si="24"/>
        <v>0</v>
      </c>
      <c r="Q120" s="94">
        <f t="shared" si="13"/>
        <v>0</v>
      </c>
      <c r="R120" s="78">
        <f t="shared" si="14"/>
        <v>0</v>
      </c>
      <c r="S120" s="84">
        <f t="shared" si="15"/>
        <v>0</v>
      </c>
      <c r="T120"/>
      <c r="U120"/>
      <c r="V120"/>
    </row>
    <row r="121" spans="1:22" s="16" customFormat="1" ht="15" customHeight="1" outlineLevel="1" x14ac:dyDescent="0.45">
      <c r="A121"/>
      <c r="B121" s="75"/>
      <c r="C121" s="78"/>
      <c r="D121" s="105"/>
      <c r="E121" s="106"/>
      <c r="F121" s="71"/>
      <c r="G121" s="78">
        <f t="shared" si="25"/>
        <v>0</v>
      </c>
      <c r="H121" s="3">
        <f t="shared" si="16"/>
        <v>0</v>
      </c>
      <c r="I121" s="20">
        <f t="shared" si="17"/>
        <v>0</v>
      </c>
      <c r="J121" s="94">
        <f t="shared" si="18"/>
        <v>0</v>
      </c>
      <c r="K121" s="20">
        <f t="shared" si="19"/>
        <v>0</v>
      </c>
      <c r="L121" s="94">
        <f t="shared" si="20"/>
        <v>0</v>
      </c>
      <c r="M121" s="78">
        <f t="shared" si="21"/>
        <v>0</v>
      </c>
      <c r="N121" s="79">
        <f t="shared" si="22"/>
        <v>0</v>
      </c>
      <c r="O121" s="94">
        <f t="shared" si="23"/>
        <v>0</v>
      </c>
      <c r="P121" s="106">
        <f t="shared" si="24"/>
        <v>0</v>
      </c>
      <c r="Q121" s="94">
        <f t="shared" si="13"/>
        <v>0</v>
      </c>
      <c r="R121" s="78">
        <f t="shared" si="14"/>
        <v>0</v>
      </c>
      <c r="S121" s="84">
        <f t="shared" si="15"/>
        <v>0</v>
      </c>
      <c r="T121"/>
      <c r="U121"/>
      <c r="V121"/>
    </row>
    <row r="122" spans="1:22" s="16" customFormat="1" ht="15" customHeight="1" outlineLevel="1" x14ac:dyDescent="0.45">
      <c r="A122"/>
      <c r="B122" s="75"/>
      <c r="C122" s="78"/>
      <c r="D122" s="105"/>
      <c r="E122" s="106"/>
      <c r="F122" s="71"/>
      <c r="G122" s="78">
        <f t="shared" si="25"/>
        <v>0</v>
      </c>
      <c r="H122" s="3">
        <f t="shared" si="16"/>
        <v>0</v>
      </c>
      <c r="I122" s="20">
        <f t="shared" si="17"/>
        <v>0</v>
      </c>
      <c r="J122" s="94">
        <f t="shared" si="18"/>
        <v>0</v>
      </c>
      <c r="K122" s="20">
        <f t="shared" si="19"/>
        <v>0</v>
      </c>
      <c r="L122" s="94">
        <f t="shared" si="20"/>
        <v>0</v>
      </c>
      <c r="M122" s="78">
        <f t="shared" si="21"/>
        <v>0</v>
      </c>
      <c r="N122" s="79">
        <f t="shared" si="22"/>
        <v>0</v>
      </c>
      <c r="O122" s="94">
        <f t="shared" si="23"/>
        <v>0</v>
      </c>
      <c r="P122" s="106">
        <f t="shared" si="24"/>
        <v>0</v>
      </c>
      <c r="Q122" s="94">
        <f t="shared" si="13"/>
        <v>0</v>
      </c>
      <c r="R122" s="78">
        <f t="shared" si="14"/>
        <v>0</v>
      </c>
      <c r="S122" s="84">
        <f t="shared" si="15"/>
        <v>0</v>
      </c>
      <c r="T122"/>
      <c r="U122"/>
      <c r="V122"/>
    </row>
    <row r="123" spans="1:22" s="16" customFormat="1" ht="15" customHeight="1" outlineLevel="1" x14ac:dyDescent="0.45">
      <c r="A123"/>
      <c r="B123" s="75"/>
      <c r="C123" s="78"/>
      <c r="D123" s="105"/>
      <c r="E123" s="106"/>
      <c r="F123" s="71"/>
      <c r="G123" s="78">
        <f t="shared" si="25"/>
        <v>0</v>
      </c>
      <c r="H123" s="3">
        <f t="shared" si="16"/>
        <v>0</v>
      </c>
      <c r="I123" s="20">
        <f t="shared" si="17"/>
        <v>0</v>
      </c>
      <c r="J123" s="94">
        <f t="shared" si="18"/>
        <v>0</v>
      </c>
      <c r="K123" s="20">
        <f t="shared" si="19"/>
        <v>0</v>
      </c>
      <c r="L123" s="94">
        <f t="shared" si="20"/>
        <v>0</v>
      </c>
      <c r="M123" s="78">
        <f t="shared" si="21"/>
        <v>0</v>
      </c>
      <c r="N123" s="79">
        <f t="shared" si="22"/>
        <v>0</v>
      </c>
      <c r="O123" s="94">
        <f t="shared" si="23"/>
        <v>0</v>
      </c>
      <c r="P123" s="106">
        <f t="shared" si="24"/>
        <v>0</v>
      </c>
      <c r="Q123" s="94">
        <f t="shared" si="13"/>
        <v>0</v>
      </c>
      <c r="R123" s="78">
        <f t="shared" si="14"/>
        <v>0</v>
      </c>
      <c r="S123" s="84">
        <f t="shared" si="15"/>
        <v>0</v>
      </c>
      <c r="T123"/>
      <c r="U123"/>
      <c r="V123"/>
    </row>
    <row r="124" spans="1:22" s="16" customFormat="1" ht="15" customHeight="1" outlineLevel="1" x14ac:dyDescent="0.45">
      <c r="A124"/>
      <c r="B124" s="75"/>
      <c r="C124" s="78"/>
      <c r="D124" s="105"/>
      <c r="E124" s="106"/>
      <c r="F124" s="71"/>
      <c r="G124" s="78">
        <f t="shared" si="25"/>
        <v>0</v>
      </c>
      <c r="H124" s="3">
        <f t="shared" si="16"/>
        <v>0</v>
      </c>
      <c r="I124" s="20">
        <f t="shared" si="17"/>
        <v>0</v>
      </c>
      <c r="J124" s="94">
        <f t="shared" si="18"/>
        <v>0</v>
      </c>
      <c r="K124" s="20">
        <f t="shared" si="19"/>
        <v>0</v>
      </c>
      <c r="L124" s="94">
        <f t="shared" si="20"/>
        <v>0</v>
      </c>
      <c r="M124" s="78">
        <f t="shared" si="21"/>
        <v>0</v>
      </c>
      <c r="N124" s="79">
        <f t="shared" si="22"/>
        <v>0</v>
      </c>
      <c r="O124" s="94">
        <f t="shared" si="23"/>
        <v>0</v>
      </c>
      <c r="P124" s="106">
        <f t="shared" si="24"/>
        <v>0</v>
      </c>
      <c r="Q124" s="94">
        <f t="shared" si="13"/>
        <v>0</v>
      </c>
      <c r="R124" s="78">
        <f t="shared" si="14"/>
        <v>0</v>
      </c>
      <c r="S124" s="84">
        <f t="shared" si="15"/>
        <v>0</v>
      </c>
      <c r="T124"/>
      <c r="U124"/>
      <c r="V124"/>
    </row>
    <row r="125" spans="1:22" s="16" customFormat="1" ht="15" customHeight="1" outlineLevel="1" x14ac:dyDescent="0.45">
      <c r="A125"/>
      <c r="B125" s="75"/>
      <c r="C125" s="78"/>
      <c r="D125" s="105"/>
      <c r="E125" s="106"/>
      <c r="F125" s="71"/>
      <c r="G125" s="78">
        <f t="shared" si="25"/>
        <v>0</v>
      </c>
      <c r="H125" s="3">
        <f t="shared" si="16"/>
        <v>0</v>
      </c>
      <c r="I125" s="20">
        <f t="shared" si="17"/>
        <v>0</v>
      </c>
      <c r="J125" s="94">
        <f t="shared" si="18"/>
        <v>0</v>
      </c>
      <c r="K125" s="20">
        <f t="shared" si="19"/>
        <v>0</v>
      </c>
      <c r="L125" s="94">
        <f t="shared" si="20"/>
        <v>0</v>
      </c>
      <c r="M125" s="78">
        <f t="shared" si="21"/>
        <v>0</v>
      </c>
      <c r="N125" s="79">
        <f t="shared" si="22"/>
        <v>0</v>
      </c>
      <c r="O125" s="94">
        <f t="shared" si="23"/>
        <v>0</v>
      </c>
      <c r="P125" s="106">
        <f t="shared" si="24"/>
        <v>0</v>
      </c>
      <c r="Q125" s="94">
        <f t="shared" si="13"/>
        <v>0</v>
      </c>
      <c r="R125" s="78">
        <f t="shared" si="14"/>
        <v>0</v>
      </c>
      <c r="S125" s="84">
        <f t="shared" si="15"/>
        <v>0</v>
      </c>
      <c r="T125"/>
      <c r="U125"/>
      <c r="V125"/>
    </row>
    <row r="126" spans="1:22" s="16" customFormat="1" ht="15" customHeight="1" outlineLevel="1" x14ac:dyDescent="0.45">
      <c r="A126"/>
      <c r="B126" s="75"/>
      <c r="C126" s="78"/>
      <c r="D126" s="105"/>
      <c r="E126" s="106"/>
      <c r="F126" s="71"/>
      <c r="G126" s="78">
        <f t="shared" si="25"/>
        <v>0</v>
      </c>
      <c r="H126" s="3">
        <f t="shared" si="16"/>
        <v>0</v>
      </c>
      <c r="I126" s="20">
        <f t="shared" si="17"/>
        <v>0</v>
      </c>
      <c r="J126" s="94">
        <f t="shared" si="18"/>
        <v>0</v>
      </c>
      <c r="K126" s="20">
        <f t="shared" si="19"/>
        <v>0</v>
      </c>
      <c r="L126" s="94">
        <f t="shared" si="20"/>
        <v>0</v>
      </c>
      <c r="M126" s="78">
        <f t="shared" si="21"/>
        <v>0</v>
      </c>
      <c r="N126" s="79">
        <f t="shared" si="22"/>
        <v>0</v>
      </c>
      <c r="O126" s="94">
        <f t="shared" si="23"/>
        <v>0</v>
      </c>
      <c r="P126" s="106">
        <f t="shared" si="24"/>
        <v>0</v>
      </c>
      <c r="Q126" s="94">
        <f t="shared" si="13"/>
        <v>0</v>
      </c>
      <c r="R126" s="78">
        <f t="shared" si="14"/>
        <v>0</v>
      </c>
      <c r="S126" s="84">
        <f t="shared" si="15"/>
        <v>0</v>
      </c>
      <c r="T126"/>
      <c r="U126"/>
      <c r="V126"/>
    </row>
    <row r="127" spans="1:22" s="16" customFormat="1" ht="15" customHeight="1" outlineLevel="1" x14ac:dyDescent="0.45">
      <c r="A127"/>
      <c r="B127" s="75"/>
      <c r="C127" s="78"/>
      <c r="D127" s="105"/>
      <c r="E127" s="106"/>
      <c r="F127" s="71"/>
      <c r="G127" s="78">
        <f t="shared" si="25"/>
        <v>0</v>
      </c>
      <c r="H127" s="3">
        <f t="shared" si="16"/>
        <v>0</v>
      </c>
      <c r="I127" s="20">
        <f t="shared" si="17"/>
        <v>0</v>
      </c>
      <c r="J127" s="94">
        <f t="shared" si="18"/>
        <v>0</v>
      </c>
      <c r="K127" s="20">
        <f t="shared" si="19"/>
        <v>0</v>
      </c>
      <c r="L127" s="94">
        <f t="shared" si="20"/>
        <v>0</v>
      </c>
      <c r="M127" s="78">
        <f t="shared" si="21"/>
        <v>0</v>
      </c>
      <c r="N127" s="79">
        <f t="shared" si="22"/>
        <v>0</v>
      </c>
      <c r="O127" s="94">
        <f t="shared" si="23"/>
        <v>0</v>
      </c>
      <c r="P127" s="106">
        <f t="shared" si="24"/>
        <v>0</v>
      </c>
      <c r="Q127" s="94">
        <f t="shared" si="13"/>
        <v>0</v>
      </c>
      <c r="R127" s="78">
        <f t="shared" si="14"/>
        <v>0</v>
      </c>
      <c r="S127" s="84">
        <f t="shared" si="15"/>
        <v>0</v>
      </c>
      <c r="T127"/>
      <c r="U127"/>
      <c r="V127"/>
    </row>
    <row r="128" spans="1:22" s="16" customFormat="1" ht="15" customHeight="1" outlineLevel="1" x14ac:dyDescent="0.45">
      <c r="A128"/>
      <c r="B128" s="75"/>
      <c r="C128" s="78"/>
      <c r="D128" s="105"/>
      <c r="E128" s="106"/>
      <c r="F128" s="71"/>
      <c r="G128" s="78">
        <f t="shared" si="25"/>
        <v>0</v>
      </c>
      <c r="H128" s="3">
        <f t="shared" si="16"/>
        <v>0</v>
      </c>
      <c r="I128" s="20">
        <f t="shared" si="17"/>
        <v>0</v>
      </c>
      <c r="J128" s="94">
        <f t="shared" si="18"/>
        <v>0</v>
      </c>
      <c r="K128" s="20">
        <f t="shared" si="19"/>
        <v>0</v>
      </c>
      <c r="L128" s="94">
        <f t="shared" si="20"/>
        <v>0</v>
      </c>
      <c r="M128" s="78">
        <f t="shared" si="21"/>
        <v>0</v>
      </c>
      <c r="N128" s="79">
        <f t="shared" si="22"/>
        <v>0</v>
      </c>
      <c r="O128" s="94">
        <f t="shared" si="23"/>
        <v>0</v>
      </c>
      <c r="P128" s="106">
        <f t="shared" si="24"/>
        <v>0</v>
      </c>
      <c r="Q128" s="94">
        <f t="shared" si="13"/>
        <v>0</v>
      </c>
      <c r="R128" s="78">
        <f t="shared" si="14"/>
        <v>0</v>
      </c>
      <c r="S128" s="84">
        <f t="shared" si="15"/>
        <v>0</v>
      </c>
      <c r="T128"/>
      <c r="U128"/>
      <c r="V128"/>
    </row>
    <row r="129" spans="1:22" s="16" customFormat="1" ht="15" customHeight="1" outlineLevel="1" x14ac:dyDescent="0.45">
      <c r="A129"/>
      <c r="B129" s="75"/>
      <c r="C129" s="78"/>
      <c r="D129" s="105"/>
      <c r="E129" s="106"/>
      <c r="F129" s="71"/>
      <c r="G129" s="78">
        <f t="shared" si="25"/>
        <v>0</v>
      </c>
      <c r="H129" s="3">
        <f t="shared" si="16"/>
        <v>0</v>
      </c>
      <c r="I129" s="20">
        <f t="shared" si="17"/>
        <v>0</v>
      </c>
      <c r="J129" s="94">
        <f t="shared" si="18"/>
        <v>0</v>
      </c>
      <c r="K129" s="20">
        <f t="shared" si="19"/>
        <v>0</v>
      </c>
      <c r="L129" s="94">
        <f t="shared" si="20"/>
        <v>0</v>
      </c>
      <c r="M129" s="78">
        <f t="shared" si="21"/>
        <v>0</v>
      </c>
      <c r="N129" s="79">
        <f t="shared" si="22"/>
        <v>0</v>
      </c>
      <c r="O129" s="94">
        <f t="shared" si="23"/>
        <v>0</v>
      </c>
      <c r="P129" s="106">
        <f t="shared" si="24"/>
        <v>0</v>
      </c>
      <c r="Q129" s="94">
        <f t="shared" si="13"/>
        <v>0</v>
      </c>
      <c r="R129" s="78">
        <f t="shared" si="14"/>
        <v>0</v>
      </c>
      <c r="S129" s="84">
        <f t="shared" si="15"/>
        <v>0</v>
      </c>
      <c r="T129"/>
      <c r="U129"/>
      <c r="V129"/>
    </row>
    <row r="130" spans="1:22" s="16" customFormat="1" ht="15" customHeight="1" outlineLevel="1" x14ac:dyDescent="0.45">
      <c r="A130"/>
      <c r="B130" s="75"/>
      <c r="C130" s="78"/>
      <c r="D130" s="105"/>
      <c r="E130" s="106"/>
      <c r="F130" s="71"/>
      <c r="G130" s="78">
        <f t="shared" si="25"/>
        <v>0</v>
      </c>
      <c r="H130" s="3">
        <f t="shared" si="16"/>
        <v>0</v>
      </c>
      <c r="I130" s="20">
        <f t="shared" si="17"/>
        <v>0</v>
      </c>
      <c r="J130" s="94">
        <f t="shared" si="18"/>
        <v>0</v>
      </c>
      <c r="K130" s="20">
        <f t="shared" si="19"/>
        <v>0</v>
      </c>
      <c r="L130" s="94">
        <f t="shared" si="20"/>
        <v>0</v>
      </c>
      <c r="M130" s="78">
        <f t="shared" si="21"/>
        <v>0</v>
      </c>
      <c r="N130" s="79">
        <f t="shared" si="22"/>
        <v>0</v>
      </c>
      <c r="O130" s="94">
        <f t="shared" si="23"/>
        <v>0</v>
      </c>
      <c r="P130" s="106">
        <f t="shared" si="24"/>
        <v>0</v>
      </c>
      <c r="Q130" s="94">
        <f t="shared" si="13"/>
        <v>0</v>
      </c>
      <c r="R130" s="78">
        <f t="shared" si="14"/>
        <v>0</v>
      </c>
      <c r="S130" s="84">
        <f t="shared" si="15"/>
        <v>0</v>
      </c>
      <c r="T130"/>
      <c r="U130"/>
      <c r="V130"/>
    </row>
    <row r="131" spans="1:22" s="16" customFormat="1" ht="15" customHeight="1" outlineLevel="1" x14ac:dyDescent="0.45">
      <c r="A131"/>
      <c r="B131" s="75"/>
      <c r="C131" s="78"/>
      <c r="D131" s="105"/>
      <c r="E131" s="106"/>
      <c r="F131" s="71"/>
      <c r="G131" s="78">
        <f t="shared" si="25"/>
        <v>0</v>
      </c>
      <c r="H131" s="3">
        <f t="shared" si="16"/>
        <v>0</v>
      </c>
      <c r="I131" s="20">
        <f t="shared" si="17"/>
        <v>0</v>
      </c>
      <c r="J131" s="94">
        <f t="shared" si="18"/>
        <v>0</v>
      </c>
      <c r="K131" s="20">
        <f t="shared" si="19"/>
        <v>0</v>
      </c>
      <c r="L131" s="94">
        <f t="shared" si="20"/>
        <v>0</v>
      </c>
      <c r="M131" s="78">
        <f t="shared" si="21"/>
        <v>0</v>
      </c>
      <c r="N131" s="79">
        <f t="shared" si="22"/>
        <v>0</v>
      </c>
      <c r="O131" s="94">
        <f t="shared" si="23"/>
        <v>0</v>
      </c>
      <c r="P131" s="106">
        <f t="shared" si="24"/>
        <v>0</v>
      </c>
      <c r="Q131" s="94">
        <f t="shared" si="13"/>
        <v>0</v>
      </c>
      <c r="R131" s="78">
        <f t="shared" si="14"/>
        <v>0</v>
      </c>
      <c r="S131" s="84">
        <f t="shared" si="15"/>
        <v>0</v>
      </c>
      <c r="T131"/>
      <c r="U131"/>
      <c r="V131"/>
    </row>
    <row r="132" spans="1:22" s="16" customFormat="1" ht="15" customHeight="1" outlineLevel="1" x14ac:dyDescent="0.45">
      <c r="A132"/>
      <c r="B132" s="75"/>
      <c r="C132" s="78"/>
      <c r="D132" s="105"/>
      <c r="E132" s="106"/>
      <c r="F132" s="71"/>
      <c r="G132" s="78">
        <f t="shared" si="25"/>
        <v>0</v>
      </c>
      <c r="H132" s="3">
        <f t="shared" si="16"/>
        <v>0</v>
      </c>
      <c r="I132" s="20">
        <f t="shared" si="17"/>
        <v>0</v>
      </c>
      <c r="J132" s="94">
        <f t="shared" si="18"/>
        <v>0</v>
      </c>
      <c r="K132" s="20">
        <f t="shared" si="19"/>
        <v>0</v>
      </c>
      <c r="L132" s="94">
        <f t="shared" si="20"/>
        <v>0</v>
      </c>
      <c r="M132" s="78">
        <f t="shared" si="21"/>
        <v>0</v>
      </c>
      <c r="N132" s="79">
        <f t="shared" si="22"/>
        <v>0</v>
      </c>
      <c r="O132" s="94">
        <f t="shared" si="23"/>
        <v>0</v>
      </c>
      <c r="P132" s="106">
        <f t="shared" si="24"/>
        <v>0</v>
      </c>
      <c r="Q132" s="94">
        <f t="shared" si="13"/>
        <v>0</v>
      </c>
      <c r="R132" s="78">
        <f t="shared" si="14"/>
        <v>0</v>
      </c>
      <c r="S132" s="84">
        <f t="shared" si="15"/>
        <v>0</v>
      </c>
      <c r="T132"/>
      <c r="U132"/>
      <c r="V132"/>
    </row>
    <row r="133" spans="1:22" s="16" customFormat="1" ht="15" customHeight="1" outlineLevel="1" x14ac:dyDescent="0.45">
      <c r="A133"/>
      <c r="B133" s="75"/>
      <c r="C133" s="78"/>
      <c r="D133" s="105"/>
      <c r="E133" s="106"/>
      <c r="F133" s="71"/>
      <c r="G133" s="78">
        <f t="shared" si="25"/>
        <v>0</v>
      </c>
      <c r="H133" s="3">
        <f t="shared" si="16"/>
        <v>0</v>
      </c>
      <c r="I133" s="20">
        <f t="shared" si="17"/>
        <v>0</v>
      </c>
      <c r="J133" s="94">
        <f t="shared" si="18"/>
        <v>0</v>
      </c>
      <c r="K133" s="20">
        <f t="shared" si="19"/>
        <v>0</v>
      </c>
      <c r="L133" s="94">
        <f t="shared" si="20"/>
        <v>0</v>
      </c>
      <c r="M133" s="78">
        <f t="shared" si="21"/>
        <v>0</v>
      </c>
      <c r="N133" s="79">
        <f t="shared" si="22"/>
        <v>0</v>
      </c>
      <c r="O133" s="94">
        <f t="shared" si="23"/>
        <v>0</v>
      </c>
      <c r="P133" s="106">
        <f t="shared" si="24"/>
        <v>0</v>
      </c>
      <c r="Q133" s="94">
        <f t="shared" ref="Q133:Q196" si="26">+H133</f>
        <v>0</v>
      </c>
      <c r="R133" s="78">
        <f t="shared" ref="R133:R196" si="27">+L133</f>
        <v>0</v>
      </c>
      <c r="S133" s="84">
        <f t="shared" ref="S133:S196" si="28">+M133</f>
        <v>0</v>
      </c>
      <c r="T133"/>
      <c r="U133"/>
      <c r="V133"/>
    </row>
    <row r="134" spans="1:22" s="16" customFormat="1" ht="15" customHeight="1" outlineLevel="1" x14ac:dyDescent="0.45">
      <c r="A134"/>
      <c r="B134" s="75"/>
      <c r="C134" s="78"/>
      <c r="D134" s="105"/>
      <c r="E134" s="106"/>
      <c r="F134" s="71"/>
      <c r="G134" s="78">
        <f t="shared" si="25"/>
        <v>0</v>
      </c>
      <c r="H134" s="3">
        <f t="shared" ref="H134:H197" si="29">IF(D134&gt;0,D134,0)</f>
        <v>0</v>
      </c>
      <c r="I134" s="20">
        <f t="shared" ref="I134:I197" si="30">IF(D134="",0,-D134)</f>
        <v>0</v>
      </c>
      <c r="J134" s="94">
        <f t="shared" ref="J134:J197" si="31">IF(F134="",0,-F134)</f>
        <v>0</v>
      </c>
      <c r="K134" s="20">
        <f t="shared" ref="K134:K197" si="32">IF(AND(I134&gt;0,I134&lt;&gt;""),-I134-J134,IF(J134="",0,-J134))</f>
        <v>0</v>
      </c>
      <c r="L134" s="94">
        <f t="shared" ref="L134:L197" si="33">+C134</f>
        <v>0</v>
      </c>
      <c r="M134" s="78">
        <f t="shared" ref="M134:M197" si="34">-L134</f>
        <v>0</v>
      </c>
      <c r="N134" s="79">
        <f t="shared" ref="N134:N197" si="35">IFERROR(+D134+I134,0)</f>
        <v>0</v>
      </c>
      <c r="O134" s="94">
        <f t="shared" ref="O134:O197" si="36">IFERROR(+F134+J134,0)</f>
        <v>0</v>
      </c>
      <c r="P134" s="106">
        <f t="shared" ref="P134:P197" si="37">IFERROR(+K134+G134,0)</f>
        <v>0</v>
      </c>
      <c r="Q134" s="94">
        <f t="shared" si="26"/>
        <v>0</v>
      </c>
      <c r="R134" s="78">
        <f t="shared" si="27"/>
        <v>0</v>
      </c>
      <c r="S134" s="84">
        <f t="shared" si="28"/>
        <v>0</v>
      </c>
      <c r="T134"/>
      <c r="U134"/>
      <c r="V134"/>
    </row>
    <row r="135" spans="1:22" s="16" customFormat="1" ht="15" customHeight="1" outlineLevel="1" x14ac:dyDescent="0.45">
      <c r="A135"/>
      <c r="B135" s="75"/>
      <c r="C135" s="78"/>
      <c r="D135" s="105"/>
      <c r="E135" s="106"/>
      <c r="F135" s="71"/>
      <c r="G135" s="78">
        <f t="shared" ref="G135:G198" si="38">-SUM(-G134,C135:D135,F135)</f>
        <v>0</v>
      </c>
      <c r="H135" s="3">
        <f t="shared" si="29"/>
        <v>0</v>
      </c>
      <c r="I135" s="20">
        <f t="shared" si="30"/>
        <v>0</v>
      </c>
      <c r="J135" s="94">
        <f t="shared" si="31"/>
        <v>0</v>
      </c>
      <c r="K135" s="20">
        <f t="shared" si="32"/>
        <v>0</v>
      </c>
      <c r="L135" s="94">
        <f t="shared" si="33"/>
        <v>0</v>
      </c>
      <c r="M135" s="78">
        <f t="shared" si="34"/>
        <v>0</v>
      </c>
      <c r="N135" s="79">
        <f t="shared" si="35"/>
        <v>0</v>
      </c>
      <c r="O135" s="94">
        <f t="shared" si="36"/>
        <v>0</v>
      </c>
      <c r="P135" s="106">
        <f t="shared" si="37"/>
        <v>0</v>
      </c>
      <c r="Q135" s="94">
        <f t="shared" si="26"/>
        <v>0</v>
      </c>
      <c r="R135" s="78">
        <f t="shared" si="27"/>
        <v>0</v>
      </c>
      <c r="S135" s="84">
        <f t="shared" si="28"/>
        <v>0</v>
      </c>
      <c r="T135"/>
      <c r="U135"/>
      <c r="V135"/>
    </row>
    <row r="136" spans="1:22" s="16" customFormat="1" ht="15" customHeight="1" outlineLevel="1" x14ac:dyDescent="0.45">
      <c r="A136"/>
      <c r="B136" s="75"/>
      <c r="C136" s="78"/>
      <c r="D136" s="105"/>
      <c r="E136" s="106"/>
      <c r="F136" s="71"/>
      <c r="G136" s="78">
        <f t="shared" si="38"/>
        <v>0</v>
      </c>
      <c r="H136" s="3">
        <f t="shared" si="29"/>
        <v>0</v>
      </c>
      <c r="I136" s="20">
        <f t="shared" si="30"/>
        <v>0</v>
      </c>
      <c r="J136" s="94">
        <f t="shared" si="31"/>
        <v>0</v>
      </c>
      <c r="K136" s="20">
        <f t="shared" si="32"/>
        <v>0</v>
      </c>
      <c r="L136" s="94">
        <f t="shared" si="33"/>
        <v>0</v>
      </c>
      <c r="M136" s="78">
        <f t="shared" si="34"/>
        <v>0</v>
      </c>
      <c r="N136" s="79">
        <f t="shared" si="35"/>
        <v>0</v>
      </c>
      <c r="O136" s="94">
        <f t="shared" si="36"/>
        <v>0</v>
      </c>
      <c r="P136" s="106">
        <f t="shared" si="37"/>
        <v>0</v>
      </c>
      <c r="Q136" s="94">
        <f t="shared" si="26"/>
        <v>0</v>
      </c>
      <c r="R136" s="78">
        <f t="shared" si="27"/>
        <v>0</v>
      </c>
      <c r="S136" s="84">
        <f t="shared" si="28"/>
        <v>0</v>
      </c>
      <c r="T136"/>
      <c r="U136"/>
      <c r="V136"/>
    </row>
    <row r="137" spans="1:22" s="16" customFormat="1" ht="15" customHeight="1" outlineLevel="1" x14ac:dyDescent="0.45">
      <c r="A137"/>
      <c r="B137" s="75"/>
      <c r="C137" s="78"/>
      <c r="D137" s="105"/>
      <c r="E137" s="106"/>
      <c r="F137" s="71"/>
      <c r="G137" s="78">
        <f t="shared" si="38"/>
        <v>0</v>
      </c>
      <c r="H137" s="3">
        <f t="shared" si="29"/>
        <v>0</v>
      </c>
      <c r="I137" s="20">
        <f t="shared" si="30"/>
        <v>0</v>
      </c>
      <c r="J137" s="94">
        <f t="shared" si="31"/>
        <v>0</v>
      </c>
      <c r="K137" s="20">
        <f t="shared" si="32"/>
        <v>0</v>
      </c>
      <c r="L137" s="94">
        <f t="shared" si="33"/>
        <v>0</v>
      </c>
      <c r="M137" s="78">
        <f t="shared" si="34"/>
        <v>0</v>
      </c>
      <c r="N137" s="79">
        <f t="shared" si="35"/>
        <v>0</v>
      </c>
      <c r="O137" s="94">
        <f t="shared" si="36"/>
        <v>0</v>
      </c>
      <c r="P137" s="106">
        <f t="shared" si="37"/>
        <v>0</v>
      </c>
      <c r="Q137" s="94">
        <f t="shared" si="26"/>
        <v>0</v>
      </c>
      <c r="R137" s="78">
        <f t="shared" si="27"/>
        <v>0</v>
      </c>
      <c r="S137" s="84">
        <f t="shared" si="28"/>
        <v>0</v>
      </c>
      <c r="T137"/>
      <c r="U137"/>
      <c r="V137"/>
    </row>
    <row r="138" spans="1:22" s="16" customFormat="1" ht="15" customHeight="1" outlineLevel="1" x14ac:dyDescent="0.45">
      <c r="A138"/>
      <c r="B138" s="75"/>
      <c r="C138" s="78"/>
      <c r="D138" s="105"/>
      <c r="E138" s="106"/>
      <c r="F138" s="71"/>
      <c r="G138" s="78">
        <f t="shared" si="38"/>
        <v>0</v>
      </c>
      <c r="H138" s="3">
        <f t="shared" si="29"/>
        <v>0</v>
      </c>
      <c r="I138" s="20">
        <f t="shared" si="30"/>
        <v>0</v>
      </c>
      <c r="J138" s="94">
        <f t="shared" si="31"/>
        <v>0</v>
      </c>
      <c r="K138" s="20">
        <f t="shared" si="32"/>
        <v>0</v>
      </c>
      <c r="L138" s="94">
        <f t="shared" si="33"/>
        <v>0</v>
      </c>
      <c r="M138" s="78">
        <f t="shared" si="34"/>
        <v>0</v>
      </c>
      <c r="N138" s="79">
        <f t="shared" si="35"/>
        <v>0</v>
      </c>
      <c r="O138" s="94">
        <f t="shared" si="36"/>
        <v>0</v>
      </c>
      <c r="P138" s="106">
        <f t="shared" si="37"/>
        <v>0</v>
      </c>
      <c r="Q138" s="94">
        <f t="shared" si="26"/>
        <v>0</v>
      </c>
      <c r="R138" s="78">
        <f t="shared" si="27"/>
        <v>0</v>
      </c>
      <c r="S138" s="84">
        <f t="shared" si="28"/>
        <v>0</v>
      </c>
      <c r="T138"/>
      <c r="U138"/>
      <c r="V138"/>
    </row>
    <row r="139" spans="1:22" s="16" customFormat="1" ht="15" customHeight="1" outlineLevel="1" x14ac:dyDescent="0.45">
      <c r="A139"/>
      <c r="B139" s="75"/>
      <c r="C139" s="78"/>
      <c r="D139" s="105"/>
      <c r="E139" s="106"/>
      <c r="F139" s="71"/>
      <c r="G139" s="78">
        <f t="shared" si="38"/>
        <v>0</v>
      </c>
      <c r="H139" s="3">
        <f t="shared" si="29"/>
        <v>0</v>
      </c>
      <c r="I139" s="20">
        <f t="shared" si="30"/>
        <v>0</v>
      </c>
      <c r="J139" s="94">
        <f t="shared" si="31"/>
        <v>0</v>
      </c>
      <c r="K139" s="20">
        <f t="shared" si="32"/>
        <v>0</v>
      </c>
      <c r="L139" s="94">
        <f t="shared" si="33"/>
        <v>0</v>
      </c>
      <c r="M139" s="78">
        <f t="shared" si="34"/>
        <v>0</v>
      </c>
      <c r="N139" s="79">
        <f t="shared" si="35"/>
        <v>0</v>
      </c>
      <c r="O139" s="94">
        <f t="shared" si="36"/>
        <v>0</v>
      </c>
      <c r="P139" s="106">
        <f t="shared" si="37"/>
        <v>0</v>
      </c>
      <c r="Q139" s="94">
        <f t="shared" si="26"/>
        <v>0</v>
      </c>
      <c r="R139" s="78">
        <f t="shared" si="27"/>
        <v>0</v>
      </c>
      <c r="S139" s="84">
        <f t="shared" si="28"/>
        <v>0</v>
      </c>
      <c r="T139"/>
      <c r="U139"/>
      <c r="V139"/>
    </row>
    <row r="140" spans="1:22" s="16" customFormat="1" ht="15" customHeight="1" outlineLevel="1" x14ac:dyDescent="0.45">
      <c r="A140"/>
      <c r="B140" s="75"/>
      <c r="C140" s="78"/>
      <c r="D140" s="105"/>
      <c r="E140" s="106"/>
      <c r="F140" s="71"/>
      <c r="G140" s="78">
        <f t="shared" si="38"/>
        <v>0</v>
      </c>
      <c r="H140" s="3">
        <f t="shared" si="29"/>
        <v>0</v>
      </c>
      <c r="I140" s="20">
        <f t="shared" si="30"/>
        <v>0</v>
      </c>
      <c r="J140" s="94">
        <f t="shared" si="31"/>
        <v>0</v>
      </c>
      <c r="K140" s="20">
        <f t="shared" si="32"/>
        <v>0</v>
      </c>
      <c r="L140" s="94">
        <f t="shared" si="33"/>
        <v>0</v>
      </c>
      <c r="M140" s="78">
        <f t="shared" si="34"/>
        <v>0</v>
      </c>
      <c r="N140" s="79">
        <f t="shared" si="35"/>
        <v>0</v>
      </c>
      <c r="O140" s="94">
        <f t="shared" si="36"/>
        <v>0</v>
      </c>
      <c r="P140" s="106">
        <f t="shared" si="37"/>
        <v>0</v>
      </c>
      <c r="Q140" s="94">
        <f t="shared" si="26"/>
        <v>0</v>
      </c>
      <c r="R140" s="78">
        <f t="shared" si="27"/>
        <v>0</v>
      </c>
      <c r="S140" s="84">
        <f t="shared" si="28"/>
        <v>0</v>
      </c>
      <c r="T140"/>
      <c r="U140"/>
      <c r="V140"/>
    </row>
    <row r="141" spans="1:22" s="16" customFormat="1" ht="15" customHeight="1" outlineLevel="1" x14ac:dyDescent="0.45">
      <c r="A141"/>
      <c r="B141" s="75"/>
      <c r="C141" s="78"/>
      <c r="D141" s="105"/>
      <c r="E141" s="106"/>
      <c r="F141" s="71"/>
      <c r="G141" s="78">
        <f t="shared" si="38"/>
        <v>0</v>
      </c>
      <c r="H141" s="3">
        <f t="shared" si="29"/>
        <v>0</v>
      </c>
      <c r="I141" s="20">
        <f t="shared" si="30"/>
        <v>0</v>
      </c>
      <c r="J141" s="94">
        <f t="shared" si="31"/>
        <v>0</v>
      </c>
      <c r="K141" s="20">
        <f t="shared" si="32"/>
        <v>0</v>
      </c>
      <c r="L141" s="94">
        <f t="shared" si="33"/>
        <v>0</v>
      </c>
      <c r="M141" s="78">
        <f t="shared" si="34"/>
        <v>0</v>
      </c>
      <c r="N141" s="79">
        <f t="shared" si="35"/>
        <v>0</v>
      </c>
      <c r="O141" s="94">
        <f t="shared" si="36"/>
        <v>0</v>
      </c>
      <c r="P141" s="106">
        <f t="shared" si="37"/>
        <v>0</v>
      </c>
      <c r="Q141" s="94">
        <f t="shared" si="26"/>
        <v>0</v>
      </c>
      <c r="R141" s="78">
        <f t="shared" si="27"/>
        <v>0</v>
      </c>
      <c r="S141" s="84">
        <f t="shared" si="28"/>
        <v>0</v>
      </c>
      <c r="T141"/>
      <c r="U141"/>
      <c r="V141"/>
    </row>
    <row r="142" spans="1:22" s="16" customFormat="1" ht="15" customHeight="1" outlineLevel="1" x14ac:dyDescent="0.45">
      <c r="A142"/>
      <c r="B142" s="75"/>
      <c r="C142" s="78"/>
      <c r="D142" s="105"/>
      <c r="E142" s="106"/>
      <c r="F142" s="71"/>
      <c r="G142" s="78">
        <f t="shared" si="38"/>
        <v>0</v>
      </c>
      <c r="H142" s="3">
        <f t="shared" si="29"/>
        <v>0</v>
      </c>
      <c r="I142" s="20">
        <f t="shared" si="30"/>
        <v>0</v>
      </c>
      <c r="J142" s="94">
        <f t="shared" si="31"/>
        <v>0</v>
      </c>
      <c r="K142" s="20">
        <f t="shared" si="32"/>
        <v>0</v>
      </c>
      <c r="L142" s="94">
        <f t="shared" si="33"/>
        <v>0</v>
      </c>
      <c r="M142" s="78">
        <f t="shared" si="34"/>
        <v>0</v>
      </c>
      <c r="N142" s="79">
        <f t="shared" si="35"/>
        <v>0</v>
      </c>
      <c r="O142" s="94">
        <f t="shared" si="36"/>
        <v>0</v>
      </c>
      <c r="P142" s="106">
        <f t="shared" si="37"/>
        <v>0</v>
      </c>
      <c r="Q142" s="94">
        <f t="shared" si="26"/>
        <v>0</v>
      </c>
      <c r="R142" s="78">
        <f t="shared" si="27"/>
        <v>0</v>
      </c>
      <c r="S142" s="84">
        <f t="shared" si="28"/>
        <v>0</v>
      </c>
      <c r="T142"/>
      <c r="U142"/>
      <c r="V142"/>
    </row>
    <row r="143" spans="1:22" s="16" customFormat="1" ht="15" customHeight="1" outlineLevel="1" x14ac:dyDescent="0.45">
      <c r="A143"/>
      <c r="B143" s="75"/>
      <c r="C143" s="78"/>
      <c r="D143" s="105"/>
      <c r="E143" s="106"/>
      <c r="F143" s="71"/>
      <c r="G143" s="78">
        <f t="shared" si="38"/>
        <v>0</v>
      </c>
      <c r="H143" s="3">
        <f t="shared" si="29"/>
        <v>0</v>
      </c>
      <c r="I143" s="20">
        <f t="shared" si="30"/>
        <v>0</v>
      </c>
      <c r="J143" s="94">
        <f t="shared" si="31"/>
        <v>0</v>
      </c>
      <c r="K143" s="20">
        <f t="shared" si="32"/>
        <v>0</v>
      </c>
      <c r="L143" s="94">
        <f t="shared" si="33"/>
        <v>0</v>
      </c>
      <c r="M143" s="78">
        <f t="shared" si="34"/>
        <v>0</v>
      </c>
      <c r="N143" s="79">
        <f t="shared" si="35"/>
        <v>0</v>
      </c>
      <c r="O143" s="94">
        <f t="shared" si="36"/>
        <v>0</v>
      </c>
      <c r="P143" s="106">
        <f t="shared" si="37"/>
        <v>0</v>
      </c>
      <c r="Q143" s="94">
        <f t="shared" si="26"/>
        <v>0</v>
      </c>
      <c r="R143" s="78">
        <f t="shared" si="27"/>
        <v>0</v>
      </c>
      <c r="S143" s="84">
        <f t="shared" si="28"/>
        <v>0</v>
      </c>
      <c r="T143"/>
      <c r="U143"/>
      <c r="V143"/>
    </row>
    <row r="144" spans="1:22" s="16" customFormat="1" ht="15" customHeight="1" outlineLevel="1" x14ac:dyDescent="0.45">
      <c r="A144"/>
      <c r="B144" s="75"/>
      <c r="C144" s="78"/>
      <c r="D144" s="105"/>
      <c r="E144" s="106"/>
      <c r="F144" s="71"/>
      <c r="G144" s="78">
        <f t="shared" si="38"/>
        <v>0</v>
      </c>
      <c r="H144" s="3">
        <f t="shared" si="29"/>
        <v>0</v>
      </c>
      <c r="I144" s="20">
        <f t="shared" si="30"/>
        <v>0</v>
      </c>
      <c r="J144" s="94">
        <f t="shared" si="31"/>
        <v>0</v>
      </c>
      <c r="K144" s="20">
        <f t="shared" si="32"/>
        <v>0</v>
      </c>
      <c r="L144" s="94">
        <f t="shared" si="33"/>
        <v>0</v>
      </c>
      <c r="M144" s="78">
        <f t="shared" si="34"/>
        <v>0</v>
      </c>
      <c r="N144" s="79">
        <f t="shared" si="35"/>
        <v>0</v>
      </c>
      <c r="O144" s="94">
        <f t="shared" si="36"/>
        <v>0</v>
      </c>
      <c r="P144" s="106">
        <f t="shared" si="37"/>
        <v>0</v>
      </c>
      <c r="Q144" s="94">
        <f t="shared" si="26"/>
        <v>0</v>
      </c>
      <c r="R144" s="78">
        <f t="shared" si="27"/>
        <v>0</v>
      </c>
      <c r="S144" s="84">
        <f t="shared" si="28"/>
        <v>0</v>
      </c>
      <c r="T144"/>
      <c r="U144"/>
      <c r="V144"/>
    </row>
    <row r="145" spans="1:22" s="16" customFormat="1" ht="15" customHeight="1" outlineLevel="1" x14ac:dyDescent="0.45">
      <c r="A145"/>
      <c r="B145" s="75"/>
      <c r="C145" s="78"/>
      <c r="D145" s="105"/>
      <c r="E145" s="106"/>
      <c r="F145" s="71"/>
      <c r="G145" s="78">
        <f t="shared" si="38"/>
        <v>0</v>
      </c>
      <c r="H145" s="3">
        <f t="shared" si="29"/>
        <v>0</v>
      </c>
      <c r="I145" s="20">
        <f t="shared" si="30"/>
        <v>0</v>
      </c>
      <c r="J145" s="94">
        <f t="shared" si="31"/>
        <v>0</v>
      </c>
      <c r="K145" s="20">
        <f t="shared" si="32"/>
        <v>0</v>
      </c>
      <c r="L145" s="94">
        <f t="shared" si="33"/>
        <v>0</v>
      </c>
      <c r="M145" s="78">
        <f t="shared" si="34"/>
        <v>0</v>
      </c>
      <c r="N145" s="79">
        <f t="shared" si="35"/>
        <v>0</v>
      </c>
      <c r="O145" s="94">
        <f t="shared" si="36"/>
        <v>0</v>
      </c>
      <c r="P145" s="106">
        <f t="shared" si="37"/>
        <v>0</v>
      </c>
      <c r="Q145" s="94">
        <f t="shared" si="26"/>
        <v>0</v>
      </c>
      <c r="R145" s="78">
        <f t="shared" si="27"/>
        <v>0</v>
      </c>
      <c r="S145" s="84">
        <f t="shared" si="28"/>
        <v>0</v>
      </c>
      <c r="T145"/>
      <c r="U145"/>
      <c r="V145"/>
    </row>
    <row r="146" spans="1:22" s="16" customFormat="1" ht="15" customHeight="1" outlineLevel="1" x14ac:dyDescent="0.45">
      <c r="A146"/>
      <c r="B146" s="75"/>
      <c r="C146" s="78"/>
      <c r="D146" s="105"/>
      <c r="E146" s="106"/>
      <c r="F146" s="71"/>
      <c r="G146" s="78">
        <f t="shared" si="38"/>
        <v>0</v>
      </c>
      <c r="H146" s="3">
        <f t="shared" si="29"/>
        <v>0</v>
      </c>
      <c r="I146" s="20">
        <f t="shared" si="30"/>
        <v>0</v>
      </c>
      <c r="J146" s="94">
        <f t="shared" si="31"/>
        <v>0</v>
      </c>
      <c r="K146" s="20">
        <f t="shared" si="32"/>
        <v>0</v>
      </c>
      <c r="L146" s="94">
        <f t="shared" si="33"/>
        <v>0</v>
      </c>
      <c r="M146" s="78">
        <f t="shared" si="34"/>
        <v>0</v>
      </c>
      <c r="N146" s="79">
        <f t="shared" si="35"/>
        <v>0</v>
      </c>
      <c r="O146" s="94">
        <f t="shared" si="36"/>
        <v>0</v>
      </c>
      <c r="P146" s="106">
        <f t="shared" si="37"/>
        <v>0</v>
      </c>
      <c r="Q146" s="94">
        <f t="shared" si="26"/>
        <v>0</v>
      </c>
      <c r="R146" s="78">
        <f t="shared" si="27"/>
        <v>0</v>
      </c>
      <c r="S146" s="84">
        <f t="shared" si="28"/>
        <v>0</v>
      </c>
      <c r="T146"/>
      <c r="U146"/>
      <c r="V146"/>
    </row>
    <row r="147" spans="1:22" s="16" customFormat="1" ht="15" customHeight="1" outlineLevel="1" x14ac:dyDescent="0.45">
      <c r="A147"/>
      <c r="B147" s="75"/>
      <c r="C147" s="78"/>
      <c r="D147" s="105"/>
      <c r="E147" s="106"/>
      <c r="F147" s="71"/>
      <c r="G147" s="78">
        <f t="shared" si="38"/>
        <v>0</v>
      </c>
      <c r="H147" s="3">
        <f t="shared" si="29"/>
        <v>0</v>
      </c>
      <c r="I147" s="20">
        <f t="shared" si="30"/>
        <v>0</v>
      </c>
      <c r="J147" s="94">
        <f t="shared" si="31"/>
        <v>0</v>
      </c>
      <c r="K147" s="20">
        <f t="shared" si="32"/>
        <v>0</v>
      </c>
      <c r="L147" s="94">
        <f t="shared" si="33"/>
        <v>0</v>
      </c>
      <c r="M147" s="78">
        <f t="shared" si="34"/>
        <v>0</v>
      </c>
      <c r="N147" s="79">
        <f t="shared" si="35"/>
        <v>0</v>
      </c>
      <c r="O147" s="94">
        <f t="shared" si="36"/>
        <v>0</v>
      </c>
      <c r="P147" s="106">
        <f t="shared" si="37"/>
        <v>0</v>
      </c>
      <c r="Q147" s="94">
        <f t="shared" si="26"/>
        <v>0</v>
      </c>
      <c r="R147" s="78">
        <f t="shared" si="27"/>
        <v>0</v>
      </c>
      <c r="S147" s="84">
        <f t="shared" si="28"/>
        <v>0</v>
      </c>
      <c r="T147"/>
      <c r="U147"/>
      <c r="V147"/>
    </row>
    <row r="148" spans="1:22" s="16" customFormat="1" ht="15" customHeight="1" outlineLevel="1" x14ac:dyDescent="0.45">
      <c r="A148"/>
      <c r="B148" s="75"/>
      <c r="C148" s="78"/>
      <c r="D148" s="105"/>
      <c r="E148" s="106"/>
      <c r="F148" s="71"/>
      <c r="G148" s="78">
        <f t="shared" si="38"/>
        <v>0</v>
      </c>
      <c r="H148" s="3">
        <f t="shared" si="29"/>
        <v>0</v>
      </c>
      <c r="I148" s="20">
        <f t="shared" si="30"/>
        <v>0</v>
      </c>
      <c r="J148" s="94">
        <f t="shared" si="31"/>
        <v>0</v>
      </c>
      <c r="K148" s="20">
        <f t="shared" si="32"/>
        <v>0</v>
      </c>
      <c r="L148" s="94">
        <f t="shared" si="33"/>
        <v>0</v>
      </c>
      <c r="M148" s="78">
        <f t="shared" si="34"/>
        <v>0</v>
      </c>
      <c r="N148" s="79">
        <f t="shared" si="35"/>
        <v>0</v>
      </c>
      <c r="O148" s="94">
        <f t="shared" si="36"/>
        <v>0</v>
      </c>
      <c r="P148" s="106">
        <f t="shared" si="37"/>
        <v>0</v>
      </c>
      <c r="Q148" s="94">
        <f t="shared" si="26"/>
        <v>0</v>
      </c>
      <c r="R148" s="78">
        <f t="shared" si="27"/>
        <v>0</v>
      </c>
      <c r="S148" s="84">
        <f t="shared" si="28"/>
        <v>0</v>
      </c>
      <c r="T148"/>
      <c r="U148"/>
      <c r="V148"/>
    </row>
    <row r="149" spans="1:22" s="16" customFormat="1" ht="15" customHeight="1" outlineLevel="1" x14ac:dyDescent="0.45">
      <c r="A149"/>
      <c r="B149" s="75"/>
      <c r="C149" s="78"/>
      <c r="D149" s="105"/>
      <c r="E149" s="106"/>
      <c r="F149" s="71"/>
      <c r="G149" s="78">
        <f t="shared" si="38"/>
        <v>0</v>
      </c>
      <c r="H149" s="3">
        <f t="shared" si="29"/>
        <v>0</v>
      </c>
      <c r="I149" s="20">
        <f t="shared" si="30"/>
        <v>0</v>
      </c>
      <c r="J149" s="94">
        <f t="shared" si="31"/>
        <v>0</v>
      </c>
      <c r="K149" s="20">
        <f t="shared" si="32"/>
        <v>0</v>
      </c>
      <c r="L149" s="94">
        <f t="shared" si="33"/>
        <v>0</v>
      </c>
      <c r="M149" s="78">
        <f t="shared" si="34"/>
        <v>0</v>
      </c>
      <c r="N149" s="79">
        <f t="shared" si="35"/>
        <v>0</v>
      </c>
      <c r="O149" s="94">
        <f t="shared" si="36"/>
        <v>0</v>
      </c>
      <c r="P149" s="106">
        <f t="shared" si="37"/>
        <v>0</v>
      </c>
      <c r="Q149" s="94">
        <f t="shared" si="26"/>
        <v>0</v>
      </c>
      <c r="R149" s="78">
        <f t="shared" si="27"/>
        <v>0</v>
      </c>
      <c r="S149" s="84">
        <f t="shared" si="28"/>
        <v>0</v>
      </c>
      <c r="T149"/>
      <c r="U149"/>
      <c r="V149"/>
    </row>
    <row r="150" spans="1:22" s="16" customFormat="1" ht="15" customHeight="1" outlineLevel="1" x14ac:dyDescent="0.45">
      <c r="A150"/>
      <c r="B150" s="75"/>
      <c r="C150" s="78"/>
      <c r="D150" s="105"/>
      <c r="E150" s="106"/>
      <c r="F150" s="71"/>
      <c r="G150" s="78">
        <f t="shared" si="38"/>
        <v>0</v>
      </c>
      <c r="H150" s="3">
        <f t="shared" si="29"/>
        <v>0</v>
      </c>
      <c r="I150" s="20">
        <f t="shared" si="30"/>
        <v>0</v>
      </c>
      <c r="J150" s="94">
        <f t="shared" si="31"/>
        <v>0</v>
      </c>
      <c r="K150" s="20">
        <f t="shared" si="32"/>
        <v>0</v>
      </c>
      <c r="L150" s="94">
        <f t="shared" si="33"/>
        <v>0</v>
      </c>
      <c r="M150" s="78">
        <f t="shared" si="34"/>
        <v>0</v>
      </c>
      <c r="N150" s="79">
        <f t="shared" si="35"/>
        <v>0</v>
      </c>
      <c r="O150" s="94">
        <f t="shared" si="36"/>
        <v>0</v>
      </c>
      <c r="P150" s="106">
        <f t="shared" si="37"/>
        <v>0</v>
      </c>
      <c r="Q150" s="94">
        <f t="shared" si="26"/>
        <v>0</v>
      </c>
      <c r="R150" s="78">
        <f t="shared" si="27"/>
        <v>0</v>
      </c>
      <c r="S150" s="84">
        <f t="shared" si="28"/>
        <v>0</v>
      </c>
      <c r="T150"/>
      <c r="U150"/>
      <c r="V150"/>
    </row>
    <row r="151" spans="1:22" s="16" customFormat="1" ht="15" customHeight="1" outlineLevel="1" x14ac:dyDescent="0.45">
      <c r="A151"/>
      <c r="B151" s="75"/>
      <c r="C151" s="78"/>
      <c r="D151" s="105"/>
      <c r="E151" s="106"/>
      <c r="F151" s="71"/>
      <c r="G151" s="78">
        <f t="shared" si="38"/>
        <v>0</v>
      </c>
      <c r="H151" s="3">
        <f t="shared" si="29"/>
        <v>0</v>
      </c>
      <c r="I151" s="20">
        <f t="shared" si="30"/>
        <v>0</v>
      </c>
      <c r="J151" s="94">
        <f t="shared" si="31"/>
        <v>0</v>
      </c>
      <c r="K151" s="20">
        <f t="shared" si="32"/>
        <v>0</v>
      </c>
      <c r="L151" s="94">
        <f t="shared" si="33"/>
        <v>0</v>
      </c>
      <c r="M151" s="78">
        <f t="shared" si="34"/>
        <v>0</v>
      </c>
      <c r="N151" s="79">
        <f t="shared" si="35"/>
        <v>0</v>
      </c>
      <c r="O151" s="94">
        <f t="shared" si="36"/>
        <v>0</v>
      </c>
      <c r="P151" s="106">
        <f t="shared" si="37"/>
        <v>0</v>
      </c>
      <c r="Q151" s="94">
        <f t="shared" si="26"/>
        <v>0</v>
      </c>
      <c r="R151" s="78">
        <f t="shared" si="27"/>
        <v>0</v>
      </c>
      <c r="S151" s="84">
        <f t="shared" si="28"/>
        <v>0</v>
      </c>
      <c r="T151"/>
      <c r="U151"/>
      <c r="V151"/>
    </row>
    <row r="152" spans="1:22" s="16" customFormat="1" ht="15" customHeight="1" outlineLevel="1" x14ac:dyDescent="0.45">
      <c r="A152"/>
      <c r="B152" s="75"/>
      <c r="C152" s="78"/>
      <c r="D152" s="105"/>
      <c r="E152" s="106"/>
      <c r="F152" s="71"/>
      <c r="G152" s="78">
        <f t="shared" si="38"/>
        <v>0</v>
      </c>
      <c r="H152" s="3">
        <f t="shared" si="29"/>
        <v>0</v>
      </c>
      <c r="I152" s="20">
        <f t="shared" si="30"/>
        <v>0</v>
      </c>
      <c r="J152" s="94">
        <f t="shared" si="31"/>
        <v>0</v>
      </c>
      <c r="K152" s="20">
        <f t="shared" si="32"/>
        <v>0</v>
      </c>
      <c r="L152" s="94">
        <f t="shared" si="33"/>
        <v>0</v>
      </c>
      <c r="M152" s="78">
        <f t="shared" si="34"/>
        <v>0</v>
      </c>
      <c r="N152" s="79">
        <f t="shared" si="35"/>
        <v>0</v>
      </c>
      <c r="O152" s="94">
        <f t="shared" si="36"/>
        <v>0</v>
      </c>
      <c r="P152" s="106">
        <f t="shared" si="37"/>
        <v>0</v>
      </c>
      <c r="Q152" s="94">
        <f t="shared" si="26"/>
        <v>0</v>
      </c>
      <c r="R152" s="78">
        <f t="shared" si="27"/>
        <v>0</v>
      </c>
      <c r="S152" s="84">
        <f t="shared" si="28"/>
        <v>0</v>
      </c>
      <c r="T152"/>
      <c r="U152"/>
      <c r="V152"/>
    </row>
    <row r="153" spans="1:22" s="16" customFormat="1" ht="15" customHeight="1" outlineLevel="1" x14ac:dyDescent="0.45">
      <c r="A153"/>
      <c r="B153" s="75"/>
      <c r="C153" s="78"/>
      <c r="D153" s="105"/>
      <c r="E153" s="106"/>
      <c r="F153" s="71"/>
      <c r="G153" s="78">
        <f t="shared" si="38"/>
        <v>0</v>
      </c>
      <c r="H153" s="3">
        <f t="shared" si="29"/>
        <v>0</v>
      </c>
      <c r="I153" s="20">
        <f t="shared" si="30"/>
        <v>0</v>
      </c>
      <c r="J153" s="94">
        <f t="shared" si="31"/>
        <v>0</v>
      </c>
      <c r="K153" s="20">
        <f t="shared" si="32"/>
        <v>0</v>
      </c>
      <c r="L153" s="94">
        <f t="shared" si="33"/>
        <v>0</v>
      </c>
      <c r="M153" s="78">
        <f t="shared" si="34"/>
        <v>0</v>
      </c>
      <c r="N153" s="79">
        <f t="shared" si="35"/>
        <v>0</v>
      </c>
      <c r="O153" s="94">
        <f t="shared" si="36"/>
        <v>0</v>
      </c>
      <c r="P153" s="106">
        <f t="shared" si="37"/>
        <v>0</v>
      </c>
      <c r="Q153" s="94">
        <f t="shared" si="26"/>
        <v>0</v>
      </c>
      <c r="R153" s="78">
        <f t="shared" si="27"/>
        <v>0</v>
      </c>
      <c r="S153" s="84">
        <f t="shared" si="28"/>
        <v>0</v>
      </c>
      <c r="T153"/>
      <c r="U153"/>
      <c r="V153"/>
    </row>
    <row r="154" spans="1:22" s="16" customFormat="1" ht="15" customHeight="1" outlineLevel="1" x14ac:dyDescent="0.45">
      <c r="A154"/>
      <c r="B154" s="75"/>
      <c r="C154" s="78"/>
      <c r="D154" s="105"/>
      <c r="E154" s="106"/>
      <c r="F154" s="71"/>
      <c r="G154" s="78">
        <f t="shared" si="38"/>
        <v>0</v>
      </c>
      <c r="H154" s="3">
        <f t="shared" si="29"/>
        <v>0</v>
      </c>
      <c r="I154" s="20">
        <f t="shared" si="30"/>
        <v>0</v>
      </c>
      <c r="J154" s="94">
        <f t="shared" si="31"/>
        <v>0</v>
      </c>
      <c r="K154" s="20">
        <f t="shared" si="32"/>
        <v>0</v>
      </c>
      <c r="L154" s="94">
        <f t="shared" si="33"/>
        <v>0</v>
      </c>
      <c r="M154" s="78">
        <f t="shared" si="34"/>
        <v>0</v>
      </c>
      <c r="N154" s="79">
        <f t="shared" si="35"/>
        <v>0</v>
      </c>
      <c r="O154" s="94">
        <f t="shared" si="36"/>
        <v>0</v>
      </c>
      <c r="P154" s="106">
        <f t="shared" si="37"/>
        <v>0</v>
      </c>
      <c r="Q154" s="94">
        <f t="shared" si="26"/>
        <v>0</v>
      </c>
      <c r="R154" s="78">
        <f t="shared" si="27"/>
        <v>0</v>
      </c>
      <c r="S154" s="84">
        <f t="shared" si="28"/>
        <v>0</v>
      </c>
      <c r="T154"/>
      <c r="U154"/>
      <c r="V154"/>
    </row>
    <row r="155" spans="1:22" s="16" customFormat="1" ht="15" customHeight="1" outlineLevel="1" x14ac:dyDescent="0.45">
      <c r="A155"/>
      <c r="B155" s="75"/>
      <c r="C155" s="78"/>
      <c r="D155" s="105"/>
      <c r="E155" s="106"/>
      <c r="F155" s="71"/>
      <c r="G155" s="78">
        <f t="shared" si="38"/>
        <v>0</v>
      </c>
      <c r="H155" s="3">
        <f t="shared" si="29"/>
        <v>0</v>
      </c>
      <c r="I155" s="20">
        <f t="shared" si="30"/>
        <v>0</v>
      </c>
      <c r="J155" s="94">
        <f t="shared" si="31"/>
        <v>0</v>
      </c>
      <c r="K155" s="20">
        <f t="shared" si="32"/>
        <v>0</v>
      </c>
      <c r="L155" s="94">
        <f t="shared" si="33"/>
        <v>0</v>
      </c>
      <c r="M155" s="78">
        <f t="shared" si="34"/>
        <v>0</v>
      </c>
      <c r="N155" s="79">
        <f t="shared" si="35"/>
        <v>0</v>
      </c>
      <c r="O155" s="94">
        <f t="shared" si="36"/>
        <v>0</v>
      </c>
      <c r="P155" s="106">
        <f t="shared" si="37"/>
        <v>0</v>
      </c>
      <c r="Q155" s="94">
        <f t="shared" si="26"/>
        <v>0</v>
      </c>
      <c r="R155" s="78">
        <f t="shared" si="27"/>
        <v>0</v>
      </c>
      <c r="S155" s="84">
        <f t="shared" si="28"/>
        <v>0</v>
      </c>
      <c r="T155"/>
      <c r="U155"/>
      <c r="V155"/>
    </row>
    <row r="156" spans="1:22" s="16" customFormat="1" ht="15" customHeight="1" outlineLevel="1" x14ac:dyDescent="0.45">
      <c r="A156"/>
      <c r="B156" s="75"/>
      <c r="C156" s="78"/>
      <c r="D156" s="105"/>
      <c r="E156" s="106"/>
      <c r="F156" s="71"/>
      <c r="G156" s="78">
        <f t="shared" si="38"/>
        <v>0</v>
      </c>
      <c r="H156" s="3">
        <f t="shared" si="29"/>
        <v>0</v>
      </c>
      <c r="I156" s="20">
        <f t="shared" si="30"/>
        <v>0</v>
      </c>
      <c r="J156" s="94">
        <f t="shared" si="31"/>
        <v>0</v>
      </c>
      <c r="K156" s="20">
        <f t="shared" si="32"/>
        <v>0</v>
      </c>
      <c r="L156" s="94">
        <f t="shared" si="33"/>
        <v>0</v>
      </c>
      <c r="M156" s="78">
        <f t="shared" si="34"/>
        <v>0</v>
      </c>
      <c r="N156" s="79">
        <f t="shared" si="35"/>
        <v>0</v>
      </c>
      <c r="O156" s="94">
        <f t="shared" si="36"/>
        <v>0</v>
      </c>
      <c r="P156" s="106">
        <f t="shared" si="37"/>
        <v>0</v>
      </c>
      <c r="Q156" s="94">
        <f t="shared" si="26"/>
        <v>0</v>
      </c>
      <c r="R156" s="78">
        <f t="shared" si="27"/>
        <v>0</v>
      </c>
      <c r="S156" s="84">
        <f t="shared" si="28"/>
        <v>0</v>
      </c>
      <c r="T156"/>
      <c r="U156"/>
      <c r="V156"/>
    </row>
    <row r="157" spans="1:22" s="16" customFormat="1" ht="15" customHeight="1" outlineLevel="1" x14ac:dyDescent="0.45">
      <c r="A157"/>
      <c r="B157" s="75"/>
      <c r="C157" s="78"/>
      <c r="D157" s="105"/>
      <c r="E157" s="106"/>
      <c r="F157" s="71"/>
      <c r="G157" s="78">
        <f t="shared" si="38"/>
        <v>0</v>
      </c>
      <c r="H157" s="3">
        <f t="shared" si="29"/>
        <v>0</v>
      </c>
      <c r="I157" s="20">
        <f t="shared" si="30"/>
        <v>0</v>
      </c>
      <c r="J157" s="94">
        <f t="shared" si="31"/>
        <v>0</v>
      </c>
      <c r="K157" s="20">
        <f t="shared" si="32"/>
        <v>0</v>
      </c>
      <c r="L157" s="94">
        <f t="shared" si="33"/>
        <v>0</v>
      </c>
      <c r="M157" s="78">
        <f t="shared" si="34"/>
        <v>0</v>
      </c>
      <c r="N157" s="79">
        <f t="shared" si="35"/>
        <v>0</v>
      </c>
      <c r="O157" s="94">
        <f t="shared" si="36"/>
        <v>0</v>
      </c>
      <c r="P157" s="106">
        <f t="shared" si="37"/>
        <v>0</v>
      </c>
      <c r="Q157" s="94">
        <f t="shared" si="26"/>
        <v>0</v>
      </c>
      <c r="R157" s="78">
        <f t="shared" si="27"/>
        <v>0</v>
      </c>
      <c r="S157" s="84">
        <f t="shared" si="28"/>
        <v>0</v>
      </c>
      <c r="T157"/>
      <c r="U157"/>
      <c r="V157"/>
    </row>
    <row r="158" spans="1:22" s="16" customFormat="1" ht="15" customHeight="1" outlineLevel="1" x14ac:dyDescent="0.45">
      <c r="A158"/>
      <c r="B158" s="75"/>
      <c r="C158" s="78"/>
      <c r="D158" s="105"/>
      <c r="E158" s="106"/>
      <c r="F158" s="71"/>
      <c r="G158" s="78">
        <f t="shared" si="38"/>
        <v>0</v>
      </c>
      <c r="H158" s="3">
        <f t="shared" si="29"/>
        <v>0</v>
      </c>
      <c r="I158" s="20">
        <f t="shared" si="30"/>
        <v>0</v>
      </c>
      <c r="J158" s="94">
        <f t="shared" si="31"/>
        <v>0</v>
      </c>
      <c r="K158" s="20">
        <f t="shared" si="32"/>
        <v>0</v>
      </c>
      <c r="L158" s="94">
        <f t="shared" si="33"/>
        <v>0</v>
      </c>
      <c r="M158" s="78">
        <f t="shared" si="34"/>
        <v>0</v>
      </c>
      <c r="N158" s="79">
        <f t="shared" si="35"/>
        <v>0</v>
      </c>
      <c r="O158" s="94">
        <f t="shared" si="36"/>
        <v>0</v>
      </c>
      <c r="P158" s="106">
        <f t="shared" si="37"/>
        <v>0</v>
      </c>
      <c r="Q158" s="94">
        <f t="shared" si="26"/>
        <v>0</v>
      </c>
      <c r="R158" s="78">
        <f t="shared" si="27"/>
        <v>0</v>
      </c>
      <c r="S158" s="84">
        <f t="shared" si="28"/>
        <v>0</v>
      </c>
      <c r="T158"/>
      <c r="U158"/>
      <c r="V158"/>
    </row>
    <row r="159" spans="1:22" s="16" customFormat="1" ht="15" customHeight="1" outlineLevel="1" x14ac:dyDescent="0.45">
      <c r="A159"/>
      <c r="B159" s="75"/>
      <c r="C159" s="78"/>
      <c r="D159" s="105"/>
      <c r="E159" s="106"/>
      <c r="F159" s="71"/>
      <c r="G159" s="78">
        <f t="shared" si="38"/>
        <v>0</v>
      </c>
      <c r="H159" s="3">
        <f t="shared" si="29"/>
        <v>0</v>
      </c>
      <c r="I159" s="20">
        <f t="shared" si="30"/>
        <v>0</v>
      </c>
      <c r="J159" s="94">
        <f t="shared" si="31"/>
        <v>0</v>
      </c>
      <c r="K159" s="20">
        <f t="shared" si="32"/>
        <v>0</v>
      </c>
      <c r="L159" s="94">
        <f t="shared" si="33"/>
        <v>0</v>
      </c>
      <c r="M159" s="78">
        <f t="shared" si="34"/>
        <v>0</v>
      </c>
      <c r="N159" s="79">
        <f t="shared" si="35"/>
        <v>0</v>
      </c>
      <c r="O159" s="94">
        <f t="shared" si="36"/>
        <v>0</v>
      </c>
      <c r="P159" s="106">
        <f t="shared" si="37"/>
        <v>0</v>
      </c>
      <c r="Q159" s="94">
        <f t="shared" si="26"/>
        <v>0</v>
      </c>
      <c r="R159" s="78">
        <f t="shared" si="27"/>
        <v>0</v>
      </c>
      <c r="S159" s="84">
        <f t="shared" si="28"/>
        <v>0</v>
      </c>
      <c r="T159"/>
      <c r="U159"/>
      <c r="V159"/>
    </row>
    <row r="160" spans="1:22" s="16" customFormat="1" ht="15" customHeight="1" outlineLevel="1" x14ac:dyDescent="0.45">
      <c r="A160"/>
      <c r="B160" s="75"/>
      <c r="C160" s="78"/>
      <c r="D160" s="105"/>
      <c r="E160" s="106"/>
      <c r="F160" s="71"/>
      <c r="G160" s="78">
        <f t="shared" si="38"/>
        <v>0</v>
      </c>
      <c r="H160" s="3">
        <f t="shared" si="29"/>
        <v>0</v>
      </c>
      <c r="I160" s="20">
        <f t="shared" si="30"/>
        <v>0</v>
      </c>
      <c r="J160" s="94">
        <f t="shared" si="31"/>
        <v>0</v>
      </c>
      <c r="K160" s="20">
        <f t="shared" si="32"/>
        <v>0</v>
      </c>
      <c r="L160" s="94">
        <f t="shared" si="33"/>
        <v>0</v>
      </c>
      <c r="M160" s="78">
        <f t="shared" si="34"/>
        <v>0</v>
      </c>
      <c r="N160" s="79">
        <f t="shared" si="35"/>
        <v>0</v>
      </c>
      <c r="O160" s="94">
        <f t="shared" si="36"/>
        <v>0</v>
      </c>
      <c r="P160" s="106">
        <f t="shared" si="37"/>
        <v>0</v>
      </c>
      <c r="Q160" s="94">
        <f t="shared" si="26"/>
        <v>0</v>
      </c>
      <c r="R160" s="78">
        <f t="shared" si="27"/>
        <v>0</v>
      </c>
      <c r="S160" s="84">
        <f t="shared" si="28"/>
        <v>0</v>
      </c>
      <c r="T160"/>
      <c r="U160"/>
      <c r="V160"/>
    </row>
    <row r="161" spans="1:22" s="16" customFormat="1" ht="18.75" customHeight="1" outlineLevel="1" x14ac:dyDescent="0.45">
      <c r="A161"/>
      <c r="B161" s="75"/>
      <c r="C161" s="78"/>
      <c r="D161" s="105"/>
      <c r="E161" s="106"/>
      <c r="F161" s="71"/>
      <c r="G161" s="78">
        <f t="shared" si="38"/>
        <v>0</v>
      </c>
      <c r="H161" s="3">
        <f t="shared" si="29"/>
        <v>0</v>
      </c>
      <c r="I161" s="20">
        <f t="shared" si="30"/>
        <v>0</v>
      </c>
      <c r="J161" s="94">
        <f t="shared" si="31"/>
        <v>0</v>
      </c>
      <c r="K161" s="20">
        <f t="shared" si="32"/>
        <v>0</v>
      </c>
      <c r="L161" s="94">
        <f t="shared" si="33"/>
        <v>0</v>
      </c>
      <c r="M161" s="78">
        <f t="shared" si="34"/>
        <v>0</v>
      </c>
      <c r="N161" s="79">
        <f t="shared" si="35"/>
        <v>0</v>
      </c>
      <c r="O161" s="94">
        <f t="shared" si="36"/>
        <v>0</v>
      </c>
      <c r="P161" s="106">
        <f t="shared" si="37"/>
        <v>0</v>
      </c>
      <c r="Q161" s="94">
        <f t="shared" si="26"/>
        <v>0</v>
      </c>
      <c r="R161" s="78">
        <f t="shared" si="27"/>
        <v>0</v>
      </c>
      <c r="S161" s="84">
        <f t="shared" si="28"/>
        <v>0</v>
      </c>
      <c r="T161"/>
      <c r="U161"/>
      <c r="V161"/>
    </row>
    <row r="162" spans="1:22" s="16" customFormat="1" ht="15" customHeight="1" outlineLevel="1" x14ac:dyDescent="0.45">
      <c r="A162"/>
      <c r="B162" s="75"/>
      <c r="C162" s="78"/>
      <c r="D162" s="105"/>
      <c r="E162" s="106"/>
      <c r="F162" s="71"/>
      <c r="G162" s="78">
        <f t="shared" si="38"/>
        <v>0</v>
      </c>
      <c r="H162" s="3">
        <f t="shared" si="29"/>
        <v>0</v>
      </c>
      <c r="I162" s="20">
        <f t="shared" si="30"/>
        <v>0</v>
      </c>
      <c r="J162" s="94">
        <f t="shared" si="31"/>
        <v>0</v>
      </c>
      <c r="K162" s="20">
        <f t="shared" si="32"/>
        <v>0</v>
      </c>
      <c r="L162" s="94">
        <f t="shared" si="33"/>
        <v>0</v>
      </c>
      <c r="M162" s="78">
        <f t="shared" si="34"/>
        <v>0</v>
      </c>
      <c r="N162" s="79">
        <f t="shared" si="35"/>
        <v>0</v>
      </c>
      <c r="O162" s="94">
        <f t="shared" si="36"/>
        <v>0</v>
      </c>
      <c r="P162" s="106">
        <f t="shared" si="37"/>
        <v>0</v>
      </c>
      <c r="Q162" s="94">
        <f t="shared" si="26"/>
        <v>0</v>
      </c>
      <c r="R162" s="78">
        <f t="shared" si="27"/>
        <v>0</v>
      </c>
      <c r="S162" s="84">
        <f t="shared" si="28"/>
        <v>0</v>
      </c>
      <c r="T162"/>
      <c r="U162"/>
      <c r="V162"/>
    </row>
    <row r="163" spans="1:22" s="16" customFormat="1" ht="15" customHeight="1" outlineLevel="1" x14ac:dyDescent="0.45">
      <c r="A163"/>
      <c r="B163" s="75"/>
      <c r="C163" s="78"/>
      <c r="D163" s="105"/>
      <c r="E163" s="106"/>
      <c r="F163" s="71"/>
      <c r="G163" s="78">
        <f t="shared" si="38"/>
        <v>0</v>
      </c>
      <c r="H163" s="3">
        <f t="shared" si="29"/>
        <v>0</v>
      </c>
      <c r="I163" s="20">
        <f t="shared" si="30"/>
        <v>0</v>
      </c>
      <c r="J163" s="94">
        <f t="shared" si="31"/>
        <v>0</v>
      </c>
      <c r="K163" s="20">
        <f t="shared" si="32"/>
        <v>0</v>
      </c>
      <c r="L163" s="94">
        <f t="shared" si="33"/>
        <v>0</v>
      </c>
      <c r="M163" s="78">
        <f t="shared" si="34"/>
        <v>0</v>
      </c>
      <c r="N163" s="79">
        <f t="shared" si="35"/>
        <v>0</v>
      </c>
      <c r="O163" s="94">
        <f t="shared" si="36"/>
        <v>0</v>
      </c>
      <c r="P163" s="106">
        <f t="shared" si="37"/>
        <v>0</v>
      </c>
      <c r="Q163" s="94">
        <f t="shared" si="26"/>
        <v>0</v>
      </c>
      <c r="R163" s="78">
        <f t="shared" si="27"/>
        <v>0</v>
      </c>
      <c r="S163" s="84">
        <f t="shared" si="28"/>
        <v>0</v>
      </c>
      <c r="T163"/>
      <c r="U163"/>
      <c r="V163"/>
    </row>
    <row r="164" spans="1:22" s="16" customFormat="1" ht="15" customHeight="1" outlineLevel="1" x14ac:dyDescent="0.45">
      <c r="A164"/>
      <c r="B164" s="75"/>
      <c r="C164" s="78"/>
      <c r="D164" s="105"/>
      <c r="E164" s="106"/>
      <c r="F164" s="71"/>
      <c r="G164" s="78">
        <f t="shared" si="38"/>
        <v>0</v>
      </c>
      <c r="H164" s="3">
        <f t="shared" si="29"/>
        <v>0</v>
      </c>
      <c r="I164" s="20">
        <f t="shared" si="30"/>
        <v>0</v>
      </c>
      <c r="J164" s="94">
        <f t="shared" si="31"/>
        <v>0</v>
      </c>
      <c r="K164" s="20">
        <f t="shared" si="32"/>
        <v>0</v>
      </c>
      <c r="L164" s="94">
        <f t="shared" si="33"/>
        <v>0</v>
      </c>
      <c r="M164" s="78">
        <f t="shared" si="34"/>
        <v>0</v>
      </c>
      <c r="N164" s="79">
        <f t="shared" si="35"/>
        <v>0</v>
      </c>
      <c r="O164" s="94">
        <f t="shared" si="36"/>
        <v>0</v>
      </c>
      <c r="P164" s="106">
        <f t="shared" si="37"/>
        <v>0</v>
      </c>
      <c r="Q164" s="94">
        <f t="shared" si="26"/>
        <v>0</v>
      </c>
      <c r="R164" s="78">
        <f t="shared" si="27"/>
        <v>0</v>
      </c>
      <c r="S164" s="84">
        <f t="shared" si="28"/>
        <v>0</v>
      </c>
      <c r="T164"/>
      <c r="U164"/>
      <c r="V164"/>
    </row>
    <row r="165" spans="1:22" s="16" customFormat="1" ht="15" customHeight="1" outlineLevel="1" x14ac:dyDescent="0.45">
      <c r="A165"/>
      <c r="B165" s="75"/>
      <c r="C165" s="78"/>
      <c r="D165" s="105"/>
      <c r="E165" s="106"/>
      <c r="F165" s="71"/>
      <c r="G165" s="78">
        <f t="shared" si="38"/>
        <v>0</v>
      </c>
      <c r="H165" s="3">
        <f t="shared" si="29"/>
        <v>0</v>
      </c>
      <c r="I165" s="20">
        <f t="shared" si="30"/>
        <v>0</v>
      </c>
      <c r="J165" s="94">
        <f t="shared" si="31"/>
        <v>0</v>
      </c>
      <c r="K165" s="20">
        <f t="shared" si="32"/>
        <v>0</v>
      </c>
      <c r="L165" s="94">
        <f t="shared" si="33"/>
        <v>0</v>
      </c>
      <c r="M165" s="78">
        <f t="shared" si="34"/>
        <v>0</v>
      </c>
      <c r="N165" s="79">
        <f t="shared" si="35"/>
        <v>0</v>
      </c>
      <c r="O165" s="94">
        <f t="shared" si="36"/>
        <v>0</v>
      </c>
      <c r="P165" s="106">
        <f t="shared" si="37"/>
        <v>0</v>
      </c>
      <c r="Q165" s="94">
        <f t="shared" si="26"/>
        <v>0</v>
      </c>
      <c r="R165" s="78">
        <f t="shared" si="27"/>
        <v>0</v>
      </c>
      <c r="S165" s="84">
        <f t="shared" si="28"/>
        <v>0</v>
      </c>
      <c r="T165"/>
      <c r="U165"/>
      <c r="V165"/>
    </row>
    <row r="166" spans="1:22" s="16" customFormat="1" ht="15" customHeight="1" outlineLevel="1" x14ac:dyDescent="0.45">
      <c r="A166"/>
      <c r="B166" s="75"/>
      <c r="C166" s="78"/>
      <c r="D166" s="105"/>
      <c r="E166" s="106"/>
      <c r="F166" s="71"/>
      <c r="G166" s="78">
        <f t="shared" si="38"/>
        <v>0</v>
      </c>
      <c r="H166" s="3">
        <f t="shared" si="29"/>
        <v>0</v>
      </c>
      <c r="I166" s="20">
        <f t="shared" si="30"/>
        <v>0</v>
      </c>
      <c r="J166" s="94">
        <f t="shared" si="31"/>
        <v>0</v>
      </c>
      <c r="K166" s="20">
        <f t="shared" si="32"/>
        <v>0</v>
      </c>
      <c r="L166" s="94">
        <f t="shared" si="33"/>
        <v>0</v>
      </c>
      <c r="M166" s="78">
        <f t="shared" si="34"/>
        <v>0</v>
      </c>
      <c r="N166" s="79">
        <f t="shared" si="35"/>
        <v>0</v>
      </c>
      <c r="O166" s="94">
        <f t="shared" si="36"/>
        <v>0</v>
      </c>
      <c r="P166" s="106">
        <f t="shared" si="37"/>
        <v>0</v>
      </c>
      <c r="Q166" s="94">
        <f t="shared" si="26"/>
        <v>0</v>
      </c>
      <c r="R166" s="78">
        <f t="shared" si="27"/>
        <v>0</v>
      </c>
      <c r="S166" s="84">
        <f t="shared" si="28"/>
        <v>0</v>
      </c>
      <c r="T166"/>
      <c r="U166"/>
      <c r="V166"/>
    </row>
    <row r="167" spans="1:22" s="16" customFormat="1" ht="15" customHeight="1" outlineLevel="1" x14ac:dyDescent="0.45">
      <c r="A167"/>
      <c r="B167" s="75"/>
      <c r="C167" s="78"/>
      <c r="D167" s="105"/>
      <c r="E167" s="106"/>
      <c r="F167" s="71"/>
      <c r="G167" s="78">
        <f t="shared" si="38"/>
        <v>0</v>
      </c>
      <c r="H167" s="3">
        <f t="shared" si="29"/>
        <v>0</v>
      </c>
      <c r="I167" s="20">
        <f t="shared" si="30"/>
        <v>0</v>
      </c>
      <c r="J167" s="94">
        <f t="shared" si="31"/>
        <v>0</v>
      </c>
      <c r="K167" s="20">
        <f t="shared" si="32"/>
        <v>0</v>
      </c>
      <c r="L167" s="94">
        <f t="shared" si="33"/>
        <v>0</v>
      </c>
      <c r="M167" s="78">
        <f t="shared" si="34"/>
        <v>0</v>
      </c>
      <c r="N167" s="79">
        <f t="shared" si="35"/>
        <v>0</v>
      </c>
      <c r="O167" s="94">
        <f t="shared" si="36"/>
        <v>0</v>
      </c>
      <c r="P167" s="106">
        <f t="shared" si="37"/>
        <v>0</v>
      </c>
      <c r="Q167" s="94">
        <f t="shared" si="26"/>
        <v>0</v>
      </c>
      <c r="R167" s="78">
        <f t="shared" si="27"/>
        <v>0</v>
      </c>
      <c r="S167" s="84">
        <f t="shared" si="28"/>
        <v>0</v>
      </c>
      <c r="T167"/>
      <c r="U167"/>
      <c r="V167"/>
    </row>
    <row r="168" spans="1:22" s="16" customFormat="1" ht="15" customHeight="1" outlineLevel="1" x14ac:dyDescent="0.45">
      <c r="A168"/>
      <c r="B168" s="75"/>
      <c r="C168" s="78"/>
      <c r="D168" s="105"/>
      <c r="E168" s="106"/>
      <c r="F168" s="71"/>
      <c r="G168" s="78">
        <f t="shared" si="38"/>
        <v>0</v>
      </c>
      <c r="H168" s="3">
        <f t="shared" si="29"/>
        <v>0</v>
      </c>
      <c r="I168" s="20">
        <f t="shared" si="30"/>
        <v>0</v>
      </c>
      <c r="J168" s="94">
        <f t="shared" si="31"/>
        <v>0</v>
      </c>
      <c r="K168" s="20">
        <f t="shared" si="32"/>
        <v>0</v>
      </c>
      <c r="L168" s="94">
        <f t="shared" si="33"/>
        <v>0</v>
      </c>
      <c r="M168" s="78">
        <f t="shared" si="34"/>
        <v>0</v>
      </c>
      <c r="N168" s="79">
        <f t="shared" si="35"/>
        <v>0</v>
      </c>
      <c r="O168" s="94">
        <f t="shared" si="36"/>
        <v>0</v>
      </c>
      <c r="P168" s="106">
        <f t="shared" si="37"/>
        <v>0</v>
      </c>
      <c r="Q168" s="94">
        <f t="shared" si="26"/>
        <v>0</v>
      </c>
      <c r="R168" s="78">
        <f t="shared" si="27"/>
        <v>0</v>
      </c>
      <c r="S168" s="84">
        <f t="shared" si="28"/>
        <v>0</v>
      </c>
      <c r="T168"/>
      <c r="U168"/>
      <c r="V168"/>
    </row>
    <row r="169" spans="1:22" s="16" customFormat="1" ht="15" customHeight="1" outlineLevel="1" x14ac:dyDescent="0.45">
      <c r="A169"/>
      <c r="B169" s="75"/>
      <c r="C169" s="78"/>
      <c r="D169" s="105"/>
      <c r="E169" s="106"/>
      <c r="F169" s="71"/>
      <c r="G169" s="78">
        <f t="shared" si="38"/>
        <v>0</v>
      </c>
      <c r="H169" s="3">
        <f t="shared" si="29"/>
        <v>0</v>
      </c>
      <c r="I169" s="20">
        <f t="shared" si="30"/>
        <v>0</v>
      </c>
      <c r="J169" s="94">
        <f t="shared" si="31"/>
        <v>0</v>
      </c>
      <c r="K169" s="20">
        <f t="shared" si="32"/>
        <v>0</v>
      </c>
      <c r="L169" s="94">
        <f t="shared" si="33"/>
        <v>0</v>
      </c>
      <c r="M169" s="78">
        <f t="shared" si="34"/>
        <v>0</v>
      </c>
      <c r="N169" s="79">
        <f t="shared" si="35"/>
        <v>0</v>
      </c>
      <c r="O169" s="94">
        <f t="shared" si="36"/>
        <v>0</v>
      </c>
      <c r="P169" s="106">
        <f t="shared" si="37"/>
        <v>0</v>
      </c>
      <c r="Q169" s="94">
        <f t="shared" si="26"/>
        <v>0</v>
      </c>
      <c r="R169" s="78">
        <f t="shared" si="27"/>
        <v>0</v>
      </c>
      <c r="S169" s="84">
        <f t="shared" si="28"/>
        <v>0</v>
      </c>
      <c r="T169"/>
      <c r="U169"/>
      <c r="V169"/>
    </row>
    <row r="170" spans="1:22" s="16" customFormat="1" ht="15" customHeight="1" outlineLevel="1" x14ac:dyDescent="0.45">
      <c r="A170"/>
      <c r="B170" s="75"/>
      <c r="C170" s="78"/>
      <c r="D170" s="105"/>
      <c r="E170" s="106"/>
      <c r="F170" s="71"/>
      <c r="G170" s="78">
        <f t="shared" si="38"/>
        <v>0</v>
      </c>
      <c r="H170" s="3">
        <f t="shared" si="29"/>
        <v>0</v>
      </c>
      <c r="I170" s="20">
        <f t="shared" si="30"/>
        <v>0</v>
      </c>
      <c r="J170" s="94">
        <f t="shared" si="31"/>
        <v>0</v>
      </c>
      <c r="K170" s="20">
        <f t="shared" si="32"/>
        <v>0</v>
      </c>
      <c r="L170" s="94">
        <f t="shared" si="33"/>
        <v>0</v>
      </c>
      <c r="M170" s="78">
        <f t="shared" si="34"/>
        <v>0</v>
      </c>
      <c r="N170" s="79">
        <f t="shared" si="35"/>
        <v>0</v>
      </c>
      <c r="O170" s="94">
        <f t="shared" si="36"/>
        <v>0</v>
      </c>
      <c r="P170" s="106">
        <f t="shared" si="37"/>
        <v>0</v>
      </c>
      <c r="Q170" s="94">
        <f t="shared" si="26"/>
        <v>0</v>
      </c>
      <c r="R170" s="78">
        <f t="shared" si="27"/>
        <v>0</v>
      </c>
      <c r="S170" s="84">
        <f t="shared" si="28"/>
        <v>0</v>
      </c>
      <c r="T170"/>
      <c r="U170"/>
      <c r="V170"/>
    </row>
    <row r="171" spans="1:22" s="16" customFormat="1" ht="15" customHeight="1" outlineLevel="1" x14ac:dyDescent="0.45">
      <c r="A171"/>
      <c r="B171" s="75"/>
      <c r="C171" s="78"/>
      <c r="D171" s="105"/>
      <c r="E171" s="106"/>
      <c r="F171" s="71"/>
      <c r="G171" s="78">
        <f t="shared" si="38"/>
        <v>0</v>
      </c>
      <c r="H171" s="3">
        <f t="shared" si="29"/>
        <v>0</v>
      </c>
      <c r="I171" s="20">
        <f t="shared" si="30"/>
        <v>0</v>
      </c>
      <c r="J171" s="94">
        <f t="shared" si="31"/>
        <v>0</v>
      </c>
      <c r="K171" s="20">
        <f t="shared" si="32"/>
        <v>0</v>
      </c>
      <c r="L171" s="94">
        <f t="shared" si="33"/>
        <v>0</v>
      </c>
      <c r="M171" s="78">
        <f t="shared" si="34"/>
        <v>0</v>
      </c>
      <c r="N171" s="79">
        <f t="shared" si="35"/>
        <v>0</v>
      </c>
      <c r="O171" s="94">
        <f t="shared" si="36"/>
        <v>0</v>
      </c>
      <c r="P171" s="106">
        <f t="shared" si="37"/>
        <v>0</v>
      </c>
      <c r="Q171" s="94">
        <f t="shared" si="26"/>
        <v>0</v>
      </c>
      <c r="R171" s="78">
        <f t="shared" si="27"/>
        <v>0</v>
      </c>
      <c r="S171" s="84">
        <f t="shared" si="28"/>
        <v>0</v>
      </c>
      <c r="T171"/>
      <c r="U171"/>
      <c r="V171"/>
    </row>
    <row r="172" spans="1:22" s="16" customFormat="1" ht="15" customHeight="1" outlineLevel="1" x14ac:dyDescent="0.45">
      <c r="A172"/>
      <c r="B172" s="75"/>
      <c r="C172" s="78"/>
      <c r="D172" s="105"/>
      <c r="E172" s="106"/>
      <c r="F172" s="71"/>
      <c r="G172" s="78">
        <f t="shared" si="38"/>
        <v>0</v>
      </c>
      <c r="H172" s="3">
        <f t="shared" si="29"/>
        <v>0</v>
      </c>
      <c r="I172" s="20">
        <f t="shared" si="30"/>
        <v>0</v>
      </c>
      <c r="J172" s="94">
        <f t="shared" si="31"/>
        <v>0</v>
      </c>
      <c r="K172" s="20">
        <f t="shared" si="32"/>
        <v>0</v>
      </c>
      <c r="L172" s="94">
        <f t="shared" si="33"/>
        <v>0</v>
      </c>
      <c r="M172" s="78">
        <f t="shared" si="34"/>
        <v>0</v>
      </c>
      <c r="N172" s="79">
        <f t="shared" si="35"/>
        <v>0</v>
      </c>
      <c r="O172" s="94">
        <f t="shared" si="36"/>
        <v>0</v>
      </c>
      <c r="P172" s="106">
        <f t="shared" si="37"/>
        <v>0</v>
      </c>
      <c r="Q172" s="94">
        <f t="shared" si="26"/>
        <v>0</v>
      </c>
      <c r="R172" s="78">
        <f t="shared" si="27"/>
        <v>0</v>
      </c>
      <c r="S172" s="84">
        <f t="shared" si="28"/>
        <v>0</v>
      </c>
      <c r="T172"/>
      <c r="U172"/>
      <c r="V172"/>
    </row>
    <row r="173" spans="1:22" s="16" customFormat="1" ht="15" customHeight="1" outlineLevel="1" x14ac:dyDescent="0.45">
      <c r="A173"/>
      <c r="B173" s="75"/>
      <c r="C173" s="78"/>
      <c r="D173" s="105"/>
      <c r="E173" s="106"/>
      <c r="F173" s="71"/>
      <c r="G173" s="78">
        <f t="shared" si="38"/>
        <v>0</v>
      </c>
      <c r="H173" s="3">
        <f t="shared" si="29"/>
        <v>0</v>
      </c>
      <c r="I173" s="20">
        <f t="shared" si="30"/>
        <v>0</v>
      </c>
      <c r="J173" s="94">
        <f t="shared" si="31"/>
        <v>0</v>
      </c>
      <c r="K173" s="20">
        <f t="shared" si="32"/>
        <v>0</v>
      </c>
      <c r="L173" s="94">
        <f t="shared" si="33"/>
        <v>0</v>
      </c>
      <c r="M173" s="78">
        <f t="shared" si="34"/>
        <v>0</v>
      </c>
      <c r="N173" s="79">
        <f t="shared" si="35"/>
        <v>0</v>
      </c>
      <c r="O173" s="94">
        <f t="shared" si="36"/>
        <v>0</v>
      </c>
      <c r="P173" s="106">
        <f t="shared" si="37"/>
        <v>0</v>
      </c>
      <c r="Q173" s="94">
        <f t="shared" si="26"/>
        <v>0</v>
      </c>
      <c r="R173" s="78">
        <f t="shared" si="27"/>
        <v>0</v>
      </c>
      <c r="S173" s="84">
        <f t="shared" si="28"/>
        <v>0</v>
      </c>
      <c r="T173"/>
      <c r="U173"/>
      <c r="V173"/>
    </row>
    <row r="174" spans="1:22" s="16" customFormat="1" ht="15" customHeight="1" outlineLevel="1" x14ac:dyDescent="0.45">
      <c r="A174"/>
      <c r="B174" s="75"/>
      <c r="C174" s="78"/>
      <c r="D174" s="105"/>
      <c r="E174" s="106"/>
      <c r="F174" s="71"/>
      <c r="G174" s="78">
        <f t="shared" si="38"/>
        <v>0</v>
      </c>
      <c r="H174" s="3">
        <f t="shared" si="29"/>
        <v>0</v>
      </c>
      <c r="I174" s="20">
        <f t="shared" si="30"/>
        <v>0</v>
      </c>
      <c r="J174" s="94">
        <f t="shared" si="31"/>
        <v>0</v>
      </c>
      <c r="K174" s="20">
        <f t="shared" si="32"/>
        <v>0</v>
      </c>
      <c r="L174" s="94">
        <f t="shared" si="33"/>
        <v>0</v>
      </c>
      <c r="M174" s="78">
        <f t="shared" si="34"/>
        <v>0</v>
      </c>
      <c r="N174" s="79">
        <f t="shared" si="35"/>
        <v>0</v>
      </c>
      <c r="O174" s="94">
        <f t="shared" si="36"/>
        <v>0</v>
      </c>
      <c r="P174" s="106">
        <f t="shared" si="37"/>
        <v>0</v>
      </c>
      <c r="Q174" s="94">
        <f t="shared" si="26"/>
        <v>0</v>
      </c>
      <c r="R174" s="78">
        <f t="shared" si="27"/>
        <v>0</v>
      </c>
      <c r="S174" s="84">
        <f t="shared" si="28"/>
        <v>0</v>
      </c>
      <c r="T174"/>
      <c r="U174"/>
      <c r="V174"/>
    </row>
    <row r="175" spans="1:22" s="16" customFormat="1" ht="15" customHeight="1" outlineLevel="1" x14ac:dyDescent="0.45">
      <c r="A175"/>
      <c r="B175" s="75"/>
      <c r="C175" s="78"/>
      <c r="D175" s="105"/>
      <c r="E175" s="106"/>
      <c r="F175" s="71"/>
      <c r="G175" s="78">
        <f t="shared" si="38"/>
        <v>0</v>
      </c>
      <c r="H175" s="3">
        <f t="shared" si="29"/>
        <v>0</v>
      </c>
      <c r="I175" s="20">
        <f t="shared" si="30"/>
        <v>0</v>
      </c>
      <c r="J175" s="94">
        <f t="shared" si="31"/>
        <v>0</v>
      </c>
      <c r="K175" s="20">
        <f t="shared" si="32"/>
        <v>0</v>
      </c>
      <c r="L175" s="94">
        <f t="shared" si="33"/>
        <v>0</v>
      </c>
      <c r="M175" s="78">
        <f t="shared" si="34"/>
        <v>0</v>
      </c>
      <c r="N175" s="79">
        <f t="shared" si="35"/>
        <v>0</v>
      </c>
      <c r="O175" s="94">
        <f t="shared" si="36"/>
        <v>0</v>
      </c>
      <c r="P175" s="106">
        <f t="shared" si="37"/>
        <v>0</v>
      </c>
      <c r="Q175" s="94">
        <f t="shared" si="26"/>
        <v>0</v>
      </c>
      <c r="R175" s="78">
        <f t="shared" si="27"/>
        <v>0</v>
      </c>
      <c r="S175" s="84">
        <f t="shared" si="28"/>
        <v>0</v>
      </c>
      <c r="T175"/>
      <c r="U175"/>
      <c r="V175"/>
    </row>
    <row r="176" spans="1:22" s="16" customFormat="1" ht="15" customHeight="1" outlineLevel="1" x14ac:dyDescent="0.45">
      <c r="A176"/>
      <c r="B176" s="75"/>
      <c r="C176" s="78"/>
      <c r="D176" s="105"/>
      <c r="E176" s="106"/>
      <c r="F176" s="71"/>
      <c r="G176" s="78">
        <f t="shared" si="38"/>
        <v>0</v>
      </c>
      <c r="H176" s="3">
        <f t="shared" si="29"/>
        <v>0</v>
      </c>
      <c r="I176" s="20">
        <f t="shared" si="30"/>
        <v>0</v>
      </c>
      <c r="J176" s="94">
        <f t="shared" si="31"/>
        <v>0</v>
      </c>
      <c r="K176" s="20">
        <f t="shared" si="32"/>
        <v>0</v>
      </c>
      <c r="L176" s="94">
        <f t="shared" si="33"/>
        <v>0</v>
      </c>
      <c r="M176" s="78">
        <f t="shared" si="34"/>
        <v>0</v>
      </c>
      <c r="N176" s="79">
        <f t="shared" si="35"/>
        <v>0</v>
      </c>
      <c r="O176" s="94">
        <f t="shared" si="36"/>
        <v>0</v>
      </c>
      <c r="P176" s="106">
        <f t="shared" si="37"/>
        <v>0</v>
      </c>
      <c r="Q176" s="94">
        <f t="shared" si="26"/>
        <v>0</v>
      </c>
      <c r="R176" s="78">
        <f t="shared" si="27"/>
        <v>0</v>
      </c>
      <c r="S176" s="84">
        <f t="shared" si="28"/>
        <v>0</v>
      </c>
      <c r="T176"/>
      <c r="U176"/>
      <c r="V176"/>
    </row>
    <row r="177" spans="1:22" s="16" customFormat="1" ht="15" customHeight="1" outlineLevel="1" x14ac:dyDescent="0.45">
      <c r="A177"/>
      <c r="B177" s="75"/>
      <c r="C177" s="78"/>
      <c r="D177" s="105"/>
      <c r="E177" s="106"/>
      <c r="F177" s="71"/>
      <c r="G177" s="78">
        <f t="shared" si="38"/>
        <v>0</v>
      </c>
      <c r="H177" s="3">
        <f t="shared" si="29"/>
        <v>0</v>
      </c>
      <c r="I177" s="20">
        <f t="shared" si="30"/>
        <v>0</v>
      </c>
      <c r="J177" s="94">
        <f t="shared" si="31"/>
        <v>0</v>
      </c>
      <c r="K177" s="20">
        <f t="shared" si="32"/>
        <v>0</v>
      </c>
      <c r="L177" s="94">
        <f t="shared" si="33"/>
        <v>0</v>
      </c>
      <c r="M177" s="78">
        <f t="shared" si="34"/>
        <v>0</v>
      </c>
      <c r="N177" s="79">
        <f t="shared" si="35"/>
        <v>0</v>
      </c>
      <c r="O177" s="94">
        <f t="shared" si="36"/>
        <v>0</v>
      </c>
      <c r="P177" s="106">
        <f t="shared" si="37"/>
        <v>0</v>
      </c>
      <c r="Q177" s="94">
        <f t="shared" si="26"/>
        <v>0</v>
      </c>
      <c r="R177" s="78">
        <f t="shared" si="27"/>
        <v>0</v>
      </c>
      <c r="S177" s="84">
        <f t="shared" si="28"/>
        <v>0</v>
      </c>
      <c r="T177"/>
      <c r="U177"/>
      <c r="V177"/>
    </row>
    <row r="178" spans="1:22" s="16" customFormat="1" ht="15" customHeight="1" outlineLevel="1" x14ac:dyDescent="0.45">
      <c r="A178"/>
      <c r="B178" s="75"/>
      <c r="C178" s="78"/>
      <c r="D178" s="105"/>
      <c r="E178" s="106"/>
      <c r="F178" s="71"/>
      <c r="G178" s="78">
        <f t="shared" si="38"/>
        <v>0</v>
      </c>
      <c r="H178" s="3">
        <f t="shared" si="29"/>
        <v>0</v>
      </c>
      <c r="I178" s="20">
        <f t="shared" si="30"/>
        <v>0</v>
      </c>
      <c r="J178" s="94">
        <f t="shared" si="31"/>
        <v>0</v>
      </c>
      <c r="K178" s="20">
        <f t="shared" si="32"/>
        <v>0</v>
      </c>
      <c r="L178" s="94">
        <f t="shared" si="33"/>
        <v>0</v>
      </c>
      <c r="M178" s="78">
        <f t="shared" si="34"/>
        <v>0</v>
      </c>
      <c r="N178" s="79">
        <f t="shared" si="35"/>
        <v>0</v>
      </c>
      <c r="O178" s="94">
        <f t="shared" si="36"/>
        <v>0</v>
      </c>
      <c r="P178" s="106">
        <f t="shared" si="37"/>
        <v>0</v>
      </c>
      <c r="Q178" s="94">
        <f t="shared" si="26"/>
        <v>0</v>
      </c>
      <c r="R178" s="78">
        <f t="shared" si="27"/>
        <v>0</v>
      </c>
      <c r="S178" s="84">
        <f t="shared" si="28"/>
        <v>0</v>
      </c>
      <c r="T178"/>
      <c r="U178"/>
      <c r="V178"/>
    </row>
    <row r="179" spans="1:22" s="16" customFormat="1" ht="15" customHeight="1" outlineLevel="1" x14ac:dyDescent="0.45">
      <c r="A179"/>
      <c r="B179" s="75"/>
      <c r="C179" s="78"/>
      <c r="D179" s="105"/>
      <c r="E179" s="106"/>
      <c r="F179" s="71"/>
      <c r="G179" s="78">
        <f t="shared" si="38"/>
        <v>0</v>
      </c>
      <c r="H179" s="3">
        <f t="shared" si="29"/>
        <v>0</v>
      </c>
      <c r="I179" s="20">
        <f t="shared" si="30"/>
        <v>0</v>
      </c>
      <c r="J179" s="94">
        <f t="shared" si="31"/>
        <v>0</v>
      </c>
      <c r="K179" s="20">
        <f t="shared" si="32"/>
        <v>0</v>
      </c>
      <c r="L179" s="94">
        <f t="shared" si="33"/>
        <v>0</v>
      </c>
      <c r="M179" s="78">
        <f t="shared" si="34"/>
        <v>0</v>
      </c>
      <c r="N179" s="79">
        <f t="shared" si="35"/>
        <v>0</v>
      </c>
      <c r="O179" s="94">
        <f t="shared" si="36"/>
        <v>0</v>
      </c>
      <c r="P179" s="106">
        <f t="shared" si="37"/>
        <v>0</v>
      </c>
      <c r="Q179" s="94">
        <f t="shared" si="26"/>
        <v>0</v>
      </c>
      <c r="R179" s="78">
        <f t="shared" si="27"/>
        <v>0</v>
      </c>
      <c r="S179" s="84">
        <f t="shared" si="28"/>
        <v>0</v>
      </c>
      <c r="T179"/>
      <c r="U179"/>
      <c r="V179"/>
    </row>
    <row r="180" spans="1:22" s="16" customFormat="1" ht="15" customHeight="1" outlineLevel="1" x14ac:dyDescent="0.45">
      <c r="A180"/>
      <c r="B180" s="75"/>
      <c r="C180" s="78"/>
      <c r="D180" s="105"/>
      <c r="E180" s="106"/>
      <c r="F180" s="71"/>
      <c r="G180" s="78">
        <f t="shared" si="38"/>
        <v>0</v>
      </c>
      <c r="H180" s="3">
        <f t="shared" si="29"/>
        <v>0</v>
      </c>
      <c r="I180" s="20">
        <f t="shared" si="30"/>
        <v>0</v>
      </c>
      <c r="J180" s="94">
        <f t="shared" si="31"/>
        <v>0</v>
      </c>
      <c r="K180" s="20">
        <f t="shared" si="32"/>
        <v>0</v>
      </c>
      <c r="L180" s="94">
        <f t="shared" si="33"/>
        <v>0</v>
      </c>
      <c r="M180" s="78">
        <f t="shared" si="34"/>
        <v>0</v>
      </c>
      <c r="N180" s="79">
        <f t="shared" si="35"/>
        <v>0</v>
      </c>
      <c r="O180" s="94">
        <f t="shared" si="36"/>
        <v>0</v>
      </c>
      <c r="P180" s="106">
        <f t="shared" si="37"/>
        <v>0</v>
      </c>
      <c r="Q180" s="94">
        <f t="shared" si="26"/>
        <v>0</v>
      </c>
      <c r="R180" s="78">
        <f t="shared" si="27"/>
        <v>0</v>
      </c>
      <c r="S180" s="84">
        <f t="shared" si="28"/>
        <v>0</v>
      </c>
      <c r="T180"/>
      <c r="U180"/>
      <c r="V180"/>
    </row>
    <row r="181" spans="1:22" s="16" customFormat="1" ht="15" customHeight="1" outlineLevel="1" x14ac:dyDescent="0.45">
      <c r="A181"/>
      <c r="B181" s="75"/>
      <c r="C181" s="78"/>
      <c r="D181" s="105"/>
      <c r="E181" s="106"/>
      <c r="F181" s="71"/>
      <c r="G181" s="78">
        <f t="shared" si="38"/>
        <v>0</v>
      </c>
      <c r="H181" s="3">
        <f t="shared" si="29"/>
        <v>0</v>
      </c>
      <c r="I181" s="20">
        <f t="shared" si="30"/>
        <v>0</v>
      </c>
      <c r="J181" s="94">
        <f t="shared" si="31"/>
        <v>0</v>
      </c>
      <c r="K181" s="20">
        <f t="shared" si="32"/>
        <v>0</v>
      </c>
      <c r="L181" s="94">
        <f t="shared" si="33"/>
        <v>0</v>
      </c>
      <c r="M181" s="78">
        <f t="shared" si="34"/>
        <v>0</v>
      </c>
      <c r="N181" s="79">
        <f t="shared" si="35"/>
        <v>0</v>
      </c>
      <c r="O181" s="94">
        <f t="shared" si="36"/>
        <v>0</v>
      </c>
      <c r="P181" s="106">
        <f t="shared" si="37"/>
        <v>0</v>
      </c>
      <c r="Q181" s="94">
        <f t="shared" si="26"/>
        <v>0</v>
      </c>
      <c r="R181" s="78">
        <f t="shared" si="27"/>
        <v>0</v>
      </c>
      <c r="S181" s="84">
        <f t="shared" si="28"/>
        <v>0</v>
      </c>
      <c r="T181"/>
      <c r="U181"/>
      <c r="V181"/>
    </row>
    <row r="182" spans="1:22" s="16" customFormat="1" ht="15" customHeight="1" outlineLevel="1" x14ac:dyDescent="0.45">
      <c r="A182"/>
      <c r="B182" s="75"/>
      <c r="C182" s="78"/>
      <c r="D182" s="105"/>
      <c r="E182" s="106"/>
      <c r="F182" s="71"/>
      <c r="G182" s="78">
        <f t="shared" si="38"/>
        <v>0</v>
      </c>
      <c r="H182" s="3">
        <f t="shared" si="29"/>
        <v>0</v>
      </c>
      <c r="I182" s="20">
        <f t="shared" si="30"/>
        <v>0</v>
      </c>
      <c r="J182" s="94">
        <f t="shared" si="31"/>
        <v>0</v>
      </c>
      <c r="K182" s="20">
        <f t="shared" si="32"/>
        <v>0</v>
      </c>
      <c r="L182" s="94">
        <f t="shared" si="33"/>
        <v>0</v>
      </c>
      <c r="M182" s="78">
        <f t="shared" si="34"/>
        <v>0</v>
      </c>
      <c r="N182" s="79">
        <f t="shared" si="35"/>
        <v>0</v>
      </c>
      <c r="O182" s="94">
        <f t="shared" si="36"/>
        <v>0</v>
      </c>
      <c r="P182" s="106">
        <f t="shared" si="37"/>
        <v>0</v>
      </c>
      <c r="Q182" s="94">
        <f t="shared" si="26"/>
        <v>0</v>
      </c>
      <c r="R182" s="78">
        <f t="shared" si="27"/>
        <v>0</v>
      </c>
      <c r="S182" s="84">
        <f t="shared" si="28"/>
        <v>0</v>
      </c>
      <c r="T182"/>
      <c r="U182"/>
      <c r="V182"/>
    </row>
    <row r="183" spans="1:22" s="16" customFormat="1" ht="15" customHeight="1" outlineLevel="1" x14ac:dyDescent="0.45">
      <c r="A183"/>
      <c r="B183" s="75"/>
      <c r="C183" s="78"/>
      <c r="D183" s="105"/>
      <c r="E183" s="106"/>
      <c r="F183" s="71"/>
      <c r="G183" s="78">
        <f t="shared" si="38"/>
        <v>0</v>
      </c>
      <c r="H183" s="3">
        <f t="shared" si="29"/>
        <v>0</v>
      </c>
      <c r="I183" s="20">
        <f t="shared" si="30"/>
        <v>0</v>
      </c>
      <c r="J183" s="94">
        <f t="shared" si="31"/>
        <v>0</v>
      </c>
      <c r="K183" s="20">
        <f t="shared" si="32"/>
        <v>0</v>
      </c>
      <c r="L183" s="94">
        <f t="shared" si="33"/>
        <v>0</v>
      </c>
      <c r="M183" s="78">
        <f t="shared" si="34"/>
        <v>0</v>
      </c>
      <c r="N183" s="79">
        <f t="shared" si="35"/>
        <v>0</v>
      </c>
      <c r="O183" s="94">
        <f t="shared" si="36"/>
        <v>0</v>
      </c>
      <c r="P183" s="106">
        <f t="shared" si="37"/>
        <v>0</v>
      </c>
      <c r="Q183" s="94">
        <f t="shared" si="26"/>
        <v>0</v>
      </c>
      <c r="R183" s="78">
        <f t="shared" si="27"/>
        <v>0</v>
      </c>
      <c r="S183" s="84">
        <f t="shared" si="28"/>
        <v>0</v>
      </c>
      <c r="T183"/>
      <c r="U183"/>
      <c r="V183"/>
    </row>
    <row r="184" spans="1:22" s="16" customFormat="1" ht="15" customHeight="1" outlineLevel="1" x14ac:dyDescent="0.45">
      <c r="A184"/>
      <c r="B184" s="75"/>
      <c r="C184" s="78"/>
      <c r="D184" s="105"/>
      <c r="E184" s="106"/>
      <c r="F184" s="71"/>
      <c r="G184" s="78">
        <f t="shared" si="38"/>
        <v>0</v>
      </c>
      <c r="H184" s="3">
        <f t="shared" si="29"/>
        <v>0</v>
      </c>
      <c r="I184" s="20">
        <f t="shared" si="30"/>
        <v>0</v>
      </c>
      <c r="J184" s="94">
        <f t="shared" si="31"/>
        <v>0</v>
      </c>
      <c r="K184" s="20">
        <f t="shared" si="32"/>
        <v>0</v>
      </c>
      <c r="L184" s="94">
        <f t="shared" si="33"/>
        <v>0</v>
      </c>
      <c r="M184" s="78">
        <f t="shared" si="34"/>
        <v>0</v>
      </c>
      <c r="N184" s="79">
        <f t="shared" si="35"/>
        <v>0</v>
      </c>
      <c r="O184" s="94">
        <f t="shared" si="36"/>
        <v>0</v>
      </c>
      <c r="P184" s="106">
        <f t="shared" si="37"/>
        <v>0</v>
      </c>
      <c r="Q184" s="94">
        <f t="shared" si="26"/>
        <v>0</v>
      </c>
      <c r="R184" s="78">
        <f t="shared" si="27"/>
        <v>0</v>
      </c>
      <c r="S184" s="84">
        <f t="shared" si="28"/>
        <v>0</v>
      </c>
      <c r="T184"/>
      <c r="U184"/>
      <c r="V184"/>
    </row>
    <row r="185" spans="1:22" s="16" customFormat="1" ht="15" customHeight="1" outlineLevel="1" x14ac:dyDescent="0.45">
      <c r="A185"/>
      <c r="B185" s="75"/>
      <c r="C185" s="78"/>
      <c r="D185" s="105"/>
      <c r="E185" s="106"/>
      <c r="F185" s="71"/>
      <c r="G185" s="78">
        <f t="shared" si="38"/>
        <v>0</v>
      </c>
      <c r="H185" s="3">
        <f t="shared" si="29"/>
        <v>0</v>
      </c>
      <c r="I185" s="20">
        <f t="shared" si="30"/>
        <v>0</v>
      </c>
      <c r="J185" s="94">
        <f t="shared" si="31"/>
        <v>0</v>
      </c>
      <c r="K185" s="20">
        <f t="shared" si="32"/>
        <v>0</v>
      </c>
      <c r="L185" s="94">
        <f t="shared" si="33"/>
        <v>0</v>
      </c>
      <c r="M185" s="78">
        <f t="shared" si="34"/>
        <v>0</v>
      </c>
      <c r="N185" s="79">
        <f t="shared" si="35"/>
        <v>0</v>
      </c>
      <c r="O185" s="94">
        <f t="shared" si="36"/>
        <v>0</v>
      </c>
      <c r="P185" s="106">
        <f t="shared" si="37"/>
        <v>0</v>
      </c>
      <c r="Q185" s="94">
        <f t="shared" si="26"/>
        <v>0</v>
      </c>
      <c r="R185" s="78">
        <f t="shared" si="27"/>
        <v>0</v>
      </c>
      <c r="S185" s="84">
        <f t="shared" si="28"/>
        <v>0</v>
      </c>
      <c r="T185"/>
      <c r="U185"/>
      <c r="V185"/>
    </row>
    <row r="186" spans="1:22" s="16" customFormat="1" ht="15" customHeight="1" outlineLevel="1" x14ac:dyDescent="0.45">
      <c r="A186"/>
      <c r="B186" s="75"/>
      <c r="C186" s="78"/>
      <c r="D186" s="105"/>
      <c r="E186" s="106"/>
      <c r="F186" s="71"/>
      <c r="G186" s="78">
        <f t="shared" si="38"/>
        <v>0</v>
      </c>
      <c r="H186" s="3">
        <f t="shared" si="29"/>
        <v>0</v>
      </c>
      <c r="I186" s="20">
        <f t="shared" si="30"/>
        <v>0</v>
      </c>
      <c r="J186" s="94">
        <f t="shared" si="31"/>
        <v>0</v>
      </c>
      <c r="K186" s="20">
        <f t="shared" si="32"/>
        <v>0</v>
      </c>
      <c r="L186" s="94">
        <f t="shared" si="33"/>
        <v>0</v>
      </c>
      <c r="M186" s="78">
        <f t="shared" si="34"/>
        <v>0</v>
      </c>
      <c r="N186" s="79">
        <f t="shared" si="35"/>
        <v>0</v>
      </c>
      <c r="O186" s="94">
        <f t="shared" si="36"/>
        <v>0</v>
      </c>
      <c r="P186" s="106">
        <f t="shared" si="37"/>
        <v>0</v>
      </c>
      <c r="Q186" s="94">
        <f t="shared" si="26"/>
        <v>0</v>
      </c>
      <c r="R186" s="78">
        <f t="shared" si="27"/>
        <v>0</v>
      </c>
      <c r="S186" s="84">
        <f t="shared" si="28"/>
        <v>0</v>
      </c>
      <c r="T186"/>
      <c r="U186"/>
      <c r="V186"/>
    </row>
    <row r="187" spans="1:22" s="16" customFormat="1" ht="15" customHeight="1" outlineLevel="1" x14ac:dyDescent="0.45">
      <c r="A187"/>
      <c r="B187" s="75"/>
      <c r="C187" s="78"/>
      <c r="D187" s="105"/>
      <c r="E187" s="106"/>
      <c r="F187" s="71"/>
      <c r="G187" s="78">
        <f t="shared" si="38"/>
        <v>0</v>
      </c>
      <c r="H187" s="3">
        <f t="shared" si="29"/>
        <v>0</v>
      </c>
      <c r="I187" s="20">
        <f t="shared" si="30"/>
        <v>0</v>
      </c>
      <c r="J187" s="94">
        <f t="shared" si="31"/>
        <v>0</v>
      </c>
      <c r="K187" s="20">
        <f t="shared" si="32"/>
        <v>0</v>
      </c>
      <c r="L187" s="94">
        <f t="shared" si="33"/>
        <v>0</v>
      </c>
      <c r="M187" s="78">
        <f t="shared" si="34"/>
        <v>0</v>
      </c>
      <c r="N187" s="79">
        <f t="shared" si="35"/>
        <v>0</v>
      </c>
      <c r="O187" s="94">
        <f t="shared" si="36"/>
        <v>0</v>
      </c>
      <c r="P187" s="106">
        <f t="shared" si="37"/>
        <v>0</v>
      </c>
      <c r="Q187" s="94">
        <f t="shared" si="26"/>
        <v>0</v>
      </c>
      <c r="R187" s="78">
        <f t="shared" si="27"/>
        <v>0</v>
      </c>
      <c r="S187" s="84">
        <f t="shared" si="28"/>
        <v>0</v>
      </c>
      <c r="T187"/>
      <c r="U187"/>
      <c r="V187"/>
    </row>
    <row r="188" spans="1:22" s="16" customFormat="1" ht="15" customHeight="1" outlineLevel="1" x14ac:dyDescent="0.45">
      <c r="A188"/>
      <c r="B188" s="75"/>
      <c r="C188" s="78"/>
      <c r="D188" s="105"/>
      <c r="E188" s="106"/>
      <c r="F188" s="71"/>
      <c r="G188" s="78">
        <f t="shared" si="38"/>
        <v>0</v>
      </c>
      <c r="H188" s="3">
        <f t="shared" si="29"/>
        <v>0</v>
      </c>
      <c r="I188" s="20">
        <f t="shared" si="30"/>
        <v>0</v>
      </c>
      <c r="J188" s="94">
        <f t="shared" si="31"/>
        <v>0</v>
      </c>
      <c r="K188" s="20">
        <f t="shared" si="32"/>
        <v>0</v>
      </c>
      <c r="L188" s="94">
        <f t="shared" si="33"/>
        <v>0</v>
      </c>
      <c r="M188" s="78">
        <f t="shared" si="34"/>
        <v>0</v>
      </c>
      <c r="N188" s="79">
        <f t="shared" si="35"/>
        <v>0</v>
      </c>
      <c r="O188" s="94">
        <f t="shared" si="36"/>
        <v>0</v>
      </c>
      <c r="P188" s="106">
        <f t="shared" si="37"/>
        <v>0</v>
      </c>
      <c r="Q188" s="94">
        <f t="shared" si="26"/>
        <v>0</v>
      </c>
      <c r="R188" s="78">
        <f t="shared" si="27"/>
        <v>0</v>
      </c>
      <c r="S188" s="84">
        <f t="shared" si="28"/>
        <v>0</v>
      </c>
      <c r="T188"/>
      <c r="U188"/>
      <c r="V188"/>
    </row>
    <row r="189" spans="1:22" s="16" customFormat="1" ht="15" customHeight="1" outlineLevel="1" x14ac:dyDescent="0.45">
      <c r="A189"/>
      <c r="B189" s="75"/>
      <c r="C189" s="78"/>
      <c r="D189" s="105"/>
      <c r="E189" s="106"/>
      <c r="F189" s="71"/>
      <c r="G189" s="78">
        <f t="shared" si="38"/>
        <v>0</v>
      </c>
      <c r="H189" s="3">
        <f t="shared" si="29"/>
        <v>0</v>
      </c>
      <c r="I189" s="20">
        <f t="shared" si="30"/>
        <v>0</v>
      </c>
      <c r="J189" s="94">
        <f t="shared" si="31"/>
        <v>0</v>
      </c>
      <c r="K189" s="20">
        <f t="shared" si="32"/>
        <v>0</v>
      </c>
      <c r="L189" s="94">
        <f t="shared" si="33"/>
        <v>0</v>
      </c>
      <c r="M189" s="78">
        <f t="shared" si="34"/>
        <v>0</v>
      </c>
      <c r="N189" s="79">
        <f t="shared" si="35"/>
        <v>0</v>
      </c>
      <c r="O189" s="94">
        <f t="shared" si="36"/>
        <v>0</v>
      </c>
      <c r="P189" s="106">
        <f t="shared" si="37"/>
        <v>0</v>
      </c>
      <c r="Q189" s="94">
        <f t="shared" si="26"/>
        <v>0</v>
      </c>
      <c r="R189" s="78">
        <f t="shared" si="27"/>
        <v>0</v>
      </c>
      <c r="S189" s="84">
        <f t="shared" si="28"/>
        <v>0</v>
      </c>
      <c r="T189"/>
      <c r="U189"/>
      <c r="V189"/>
    </row>
    <row r="190" spans="1:22" s="16" customFormat="1" ht="15" customHeight="1" outlineLevel="1" x14ac:dyDescent="0.45">
      <c r="A190"/>
      <c r="B190" s="75"/>
      <c r="C190" s="78"/>
      <c r="D190" s="105"/>
      <c r="E190" s="106"/>
      <c r="F190" s="71"/>
      <c r="G190" s="78">
        <f t="shared" si="38"/>
        <v>0</v>
      </c>
      <c r="H190" s="3">
        <f t="shared" si="29"/>
        <v>0</v>
      </c>
      <c r="I190" s="20">
        <f t="shared" si="30"/>
        <v>0</v>
      </c>
      <c r="J190" s="94">
        <f t="shared" si="31"/>
        <v>0</v>
      </c>
      <c r="K190" s="20">
        <f t="shared" si="32"/>
        <v>0</v>
      </c>
      <c r="L190" s="94">
        <f t="shared" si="33"/>
        <v>0</v>
      </c>
      <c r="M190" s="78">
        <f t="shared" si="34"/>
        <v>0</v>
      </c>
      <c r="N190" s="79">
        <f t="shared" si="35"/>
        <v>0</v>
      </c>
      <c r="O190" s="94">
        <f t="shared" si="36"/>
        <v>0</v>
      </c>
      <c r="P190" s="106">
        <f t="shared" si="37"/>
        <v>0</v>
      </c>
      <c r="Q190" s="94">
        <f t="shared" si="26"/>
        <v>0</v>
      </c>
      <c r="R190" s="78">
        <f t="shared" si="27"/>
        <v>0</v>
      </c>
      <c r="S190" s="84">
        <f t="shared" si="28"/>
        <v>0</v>
      </c>
      <c r="T190"/>
      <c r="U190"/>
      <c r="V190"/>
    </row>
    <row r="191" spans="1:22" s="16" customFormat="1" ht="15" customHeight="1" outlineLevel="1" x14ac:dyDescent="0.45">
      <c r="A191"/>
      <c r="B191" s="75"/>
      <c r="C191" s="78"/>
      <c r="D191" s="105"/>
      <c r="E191" s="106"/>
      <c r="F191" s="71"/>
      <c r="G191" s="78">
        <f t="shared" si="38"/>
        <v>0</v>
      </c>
      <c r="H191" s="3">
        <f t="shared" si="29"/>
        <v>0</v>
      </c>
      <c r="I191" s="20">
        <f t="shared" si="30"/>
        <v>0</v>
      </c>
      <c r="J191" s="94">
        <f t="shared" si="31"/>
        <v>0</v>
      </c>
      <c r="K191" s="20">
        <f t="shared" si="32"/>
        <v>0</v>
      </c>
      <c r="L191" s="94">
        <f t="shared" si="33"/>
        <v>0</v>
      </c>
      <c r="M191" s="78">
        <f t="shared" si="34"/>
        <v>0</v>
      </c>
      <c r="N191" s="79">
        <f t="shared" si="35"/>
        <v>0</v>
      </c>
      <c r="O191" s="94">
        <f t="shared" si="36"/>
        <v>0</v>
      </c>
      <c r="P191" s="106">
        <f t="shared" si="37"/>
        <v>0</v>
      </c>
      <c r="Q191" s="94">
        <f t="shared" si="26"/>
        <v>0</v>
      </c>
      <c r="R191" s="78">
        <f t="shared" si="27"/>
        <v>0</v>
      </c>
      <c r="S191" s="84">
        <f t="shared" si="28"/>
        <v>0</v>
      </c>
      <c r="T191"/>
      <c r="U191"/>
      <c r="V191"/>
    </row>
    <row r="192" spans="1:22" s="16" customFormat="1" ht="15" customHeight="1" outlineLevel="1" x14ac:dyDescent="0.45">
      <c r="A192"/>
      <c r="B192" s="75"/>
      <c r="C192" s="78"/>
      <c r="D192" s="105"/>
      <c r="E192" s="106"/>
      <c r="F192" s="71"/>
      <c r="G192" s="78">
        <f t="shared" si="38"/>
        <v>0</v>
      </c>
      <c r="H192" s="3">
        <f t="shared" si="29"/>
        <v>0</v>
      </c>
      <c r="I192" s="20">
        <f t="shared" si="30"/>
        <v>0</v>
      </c>
      <c r="J192" s="94">
        <f t="shared" si="31"/>
        <v>0</v>
      </c>
      <c r="K192" s="20">
        <f t="shared" si="32"/>
        <v>0</v>
      </c>
      <c r="L192" s="94">
        <f t="shared" si="33"/>
        <v>0</v>
      </c>
      <c r="M192" s="78">
        <f t="shared" si="34"/>
        <v>0</v>
      </c>
      <c r="N192" s="79">
        <f t="shared" si="35"/>
        <v>0</v>
      </c>
      <c r="O192" s="94">
        <f t="shared" si="36"/>
        <v>0</v>
      </c>
      <c r="P192" s="106">
        <f t="shared" si="37"/>
        <v>0</v>
      </c>
      <c r="Q192" s="94">
        <f t="shared" si="26"/>
        <v>0</v>
      </c>
      <c r="R192" s="78">
        <f t="shared" si="27"/>
        <v>0</v>
      </c>
      <c r="S192" s="84">
        <f t="shared" si="28"/>
        <v>0</v>
      </c>
      <c r="T192"/>
      <c r="U192"/>
      <c r="V192"/>
    </row>
    <row r="193" spans="1:22" s="16" customFormat="1" ht="15" customHeight="1" outlineLevel="1" x14ac:dyDescent="0.45">
      <c r="A193"/>
      <c r="B193" s="75"/>
      <c r="C193" s="78"/>
      <c r="D193" s="105"/>
      <c r="E193" s="106"/>
      <c r="F193" s="71"/>
      <c r="G193" s="78">
        <f t="shared" si="38"/>
        <v>0</v>
      </c>
      <c r="H193" s="3">
        <f t="shared" si="29"/>
        <v>0</v>
      </c>
      <c r="I193" s="20">
        <f t="shared" si="30"/>
        <v>0</v>
      </c>
      <c r="J193" s="94">
        <f t="shared" si="31"/>
        <v>0</v>
      </c>
      <c r="K193" s="20">
        <f t="shared" si="32"/>
        <v>0</v>
      </c>
      <c r="L193" s="94">
        <f t="shared" si="33"/>
        <v>0</v>
      </c>
      <c r="M193" s="78">
        <f t="shared" si="34"/>
        <v>0</v>
      </c>
      <c r="N193" s="79">
        <f t="shared" si="35"/>
        <v>0</v>
      </c>
      <c r="O193" s="94">
        <f t="shared" si="36"/>
        <v>0</v>
      </c>
      <c r="P193" s="106">
        <f t="shared" si="37"/>
        <v>0</v>
      </c>
      <c r="Q193" s="94">
        <f t="shared" si="26"/>
        <v>0</v>
      </c>
      <c r="R193" s="78">
        <f t="shared" si="27"/>
        <v>0</v>
      </c>
      <c r="S193" s="84">
        <f t="shared" si="28"/>
        <v>0</v>
      </c>
      <c r="T193"/>
      <c r="U193"/>
      <c r="V193"/>
    </row>
    <row r="194" spans="1:22" s="16" customFormat="1" ht="15" customHeight="1" outlineLevel="1" x14ac:dyDescent="0.45">
      <c r="A194"/>
      <c r="B194" s="75"/>
      <c r="C194" s="78"/>
      <c r="D194" s="105"/>
      <c r="E194" s="106"/>
      <c r="F194" s="71"/>
      <c r="G194" s="78">
        <f t="shared" si="38"/>
        <v>0</v>
      </c>
      <c r="H194" s="3">
        <f t="shared" si="29"/>
        <v>0</v>
      </c>
      <c r="I194" s="20">
        <f t="shared" si="30"/>
        <v>0</v>
      </c>
      <c r="J194" s="94">
        <f t="shared" si="31"/>
        <v>0</v>
      </c>
      <c r="K194" s="20">
        <f t="shared" si="32"/>
        <v>0</v>
      </c>
      <c r="L194" s="94">
        <f t="shared" si="33"/>
        <v>0</v>
      </c>
      <c r="M194" s="78">
        <f t="shared" si="34"/>
        <v>0</v>
      </c>
      <c r="N194" s="79">
        <f t="shared" si="35"/>
        <v>0</v>
      </c>
      <c r="O194" s="94">
        <f t="shared" si="36"/>
        <v>0</v>
      </c>
      <c r="P194" s="106">
        <f t="shared" si="37"/>
        <v>0</v>
      </c>
      <c r="Q194" s="94">
        <f t="shared" si="26"/>
        <v>0</v>
      </c>
      <c r="R194" s="78">
        <f t="shared" si="27"/>
        <v>0</v>
      </c>
      <c r="S194" s="84">
        <f t="shared" si="28"/>
        <v>0</v>
      </c>
      <c r="T194"/>
      <c r="U194"/>
      <c r="V194"/>
    </row>
    <row r="195" spans="1:22" s="16" customFormat="1" ht="15" customHeight="1" outlineLevel="1" x14ac:dyDescent="0.45">
      <c r="A195"/>
      <c r="B195" s="75"/>
      <c r="C195" s="78"/>
      <c r="D195" s="105"/>
      <c r="E195" s="106"/>
      <c r="F195" s="71"/>
      <c r="G195" s="78">
        <f t="shared" si="38"/>
        <v>0</v>
      </c>
      <c r="H195" s="3">
        <f t="shared" si="29"/>
        <v>0</v>
      </c>
      <c r="I195" s="20">
        <f t="shared" si="30"/>
        <v>0</v>
      </c>
      <c r="J195" s="94">
        <f t="shared" si="31"/>
        <v>0</v>
      </c>
      <c r="K195" s="20">
        <f t="shared" si="32"/>
        <v>0</v>
      </c>
      <c r="L195" s="94">
        <f t="shared" si="33"/>
        <v>0</v>
      </c>
      <c r="M195" s="78">
        <f t="shared" si="34"/>
        <v>0</v>
      </c>
      <c r="N195" s="79">
        <f t="shared" si="35"/>
        <v>0</v>
      </c>
      <c r="O195" s="94">
        <f t="shared" si="36"/>
        <v>0</v>
      </c>
      <c r="P195" s="106">
        <f t="shared" si="37"/>
        <v>0</v>
      </c>
      <c r="Q195" s="94">
        <f t="shared" si="26"/>
        <v>0</v>
      </c>
      <c r="R195" s="78">
        <f t="shared" si="27"/>
        <v>0</v>
      </c>
      <c r="S195" s="84">
        <f t="shared" si="28"/>
        <v>0</v>
      </c>
      <c r="T195"/>
      <c r="U195"/>
      <c r="V195"/>
    </row>
    <row r="196" spans="1:22" s="16" customFormat="1" ht="15" customHeight="1" outlineLevel="1" x14ac:dyDescent="0.45">
      <c r="A196"/>
      <c r="B196" s="75"/>
      <c r="C196" s="78"/>
      <c r="D196" s="105"/>
      <c r="E196" s="106"/>
      <c r="F196" s="71"/>
      <c r="G196" s="78">
        <f t="shared" si="38"/>
        <v>0</v>
      </c>
      <c r="H196" s="3">
        <f t="shared" si="29"/>
        <v>0</v>
      </c>
      <c r="I196" s="20">
        <f t="shared" si="30"/>
        <v>0</v>
      </c>
      <c r="J196" s="94">
        <f t="shared" si="31"/>
        <v>0</v>
      </c>
      <c r="K196" s="20">
        <f t="shared" si="32"/>
        <v>0</v>
      </c>
      <c r="L196" s="94">
        <f t="shared" si="33"/>
        <v>0</v>
      </c>
      <c r="M196" s="78">
        <f t="shared" si="34"/>
        <v>0</v>
      </c>
      <c r="N196" s="79">
        <f t="shared" si="35"/>
        <v>0</v>
      </c>
      <c r="O196" s="94">
        <f t="shared" si="36"/>
        <v>0</v>
      </c>
      <c r="P196" s="106">
        <f t="shared" si="37"/>
        <v>0</v>
      </c>
      <c r="Q196" s="94">
        <f t="shared" si="26"/>
        <v>0</v>
      </c>
      <c r="R196" s="78">
        <f t="shared" si="27"/>
        <v>0</v>
      </c>
      <c r="S196" s="84">
        <f t="shared" si="28"/>
        <v>0</v>
      </c>
      <c r="T196"/>
      <c r="U196"/>
      <c r="V196"/>
    </row>
    <row r="197" spans="1:22" s="16" customFormat="1" ht="15" customHeight="1" outlineLevel="1" x14ac:dyDescent="0.45">
      <c r="A197"/>
      <c r="B197" s="75"/>
      <c r="C197" s="78"/>
      <c r="D197" s="105"/>
      <c r="E197" s="106"/>
      <c r="F197" s="71"/>
      <c r="G197" s="78">
        <f t="shared" si="38"/>
        <v>0</v>
      </c>
      <c r="H197" s="3">
        <f t="shared" si="29"/>
        <v>0</v>
      </c>
      <c r="I197" s="20">
        <f t="shared" si="30"/>
        <v>0</v>
      </c>
      <c r="J197" s="94">
        <f t="shared" si="31"/>
        <v>0</v>
      </c>
      <c r="K197" s="20">
        <f t="shared" si="32"/>
        <v>0</v>
      </c>
      <c r="L197" s="94">
        <f t="shared" si="33"/>
        <v>0</v>
      </c>
      <c r="M197" s="78">
        <f t="shared" si="34"/>
        <v>0</v>
      </c>
      <c r="N197" s="79">
        <f t="shared" si="35"/>
        <v>0</v>
      </c>
      <c r="O197" s="94">
        <f t="shared" si="36"/>
        <v>0</v>
      </c>
      <c r="P197" s="106">
        <f t="shared" si="37"/>
        <v>0</v>
      </c>
      <c r="Q197" s="94">
        <f t="shared" ref="Q197:Q260" si="39">+H197</f>
        <v>0</v>
      </c>
      <c r="R197" s="78">
        <f t="shared" ref="R197:R260" si="40">+L197</f>
        <v>0</v>
      </c>
      <c r="S197" s="84">
        <f t="shared" ref="S197:S260" si="41">+M197</f>
        <v>0</v>
      </c>
      <c r="T197"/>
      <c r="U197"/>
      <c r="V197"/>
    </row>
    <row r="198" spans="1:22" s="16" customFormat="1" ht="15" customHeight="1" outlineLevel="1" x14ac:dyDescent="0.45">
      <c r="A198"/>
      <c r="B198" s="75"/>
      <c r="C198" s="78"/>
      <c r="D198" s="105"/>
      <c r="E198" s="106"/>
      <c r="F198" s="71"/>
      <c r="G198" s="78">
        <f t="shared" si="38"/>
        <v>0</v>
      </c>
      <c r="H198" s="3">
        <f t="shared" ref="H198:H261" si="42">IF(D198&gt;0,D198,0)</f>
        <v>0</v>
      </c>
      <c r="I198" s="20">
        <f t="shared" ref="I198:I261" si="43">IF(D198="",0,-D198)</f>
        <v>0</v>
      </c>
      <c r="J198" s="94">
        <f t="shared" ref="J198:J261" si="44">IF(F198="",0,-F198)</f>
        <v>0</v>
      </c>
      <c r="K198" s="20">
        <f t="shared" ref="K198:K261" si="45">IF(AND(I198&gt;0,I198&lt;&gt;""),-I198-J198,IF(J198="",0,-J198))</f>
        <v>0</v>
      </c>
      <c r="L198" s="94">
        <f t="shared" ref="L198:L261" si="46">+C198</f>
        <v>0</v>
      </c>
      <c r="M198" s="78">
        <f t="shared" ref="M198:M261" si="47">-L198</f>
        <v>0</v>
      </c>
      <c r="N198" s="79">
        <f t="shared" ref="N198:N261" si="48">IFERROR(+D198+I198,0)</f>
        <v>0</v>
      </c>
      <c r="O198" s="94">
        <f t="shared" ref="O198:O261" si="49">IFERROR(+F198+J198,0)</f>
        <v>0</v>
      </c>
      <c r="P198" s="106">
        <f t="shared" ref="P198:P261" si="50">IFERROR(+K198+G198,0)</f>
        <v>0</v>
      </c>
      <c r="Q198" s="94">
        <f t="shared" si="39"/>
        <v>0</v>
      </c>
      <c r="R198" s="78">
        <f t="shared" si="40"/>
        <v>0</v>
      </c>
      <c r="S198" s="84">
        <f t="shared" si="41"/>
        <v>0</v>
      </c>
      <c r="T198"/>
      <c r="U198"/>
      <c r="V198"/>
    </row>
    <row r="199" spans="1:22" s="16" customFormat="1" ht="15" customHeight="1" outlineLevel="1" x14ac:dyDescent="0.45">
      <c r="A199"/>
      <c r="B199" s="75"/>
      <c r="C199" s="78"/>
      <c r="D199" s="105"/>
      <c r="E199" s="106"/>
      <c r="F199" s="71"/>
      <c r="G199" s="78">
        <f t="shared" ref="G199:G262" si="51">-SUM(-G198,C199:D199,F199)</f>
        <v>0</v>
      </c>
      <c r="H199" s="3">
        <f t="shared" si="42"/>
        <v>0</v>
      </c>
      <c r="I199" s="20">
        <f t="shared" si="43"/>
        <v>0</v>
      </c>
      <c r="J199" s="94">
        <f t="shared" si="44"/>
        <v>0</v>
      </c>
      <c r="K199" s="20">
        <f t="shared" si="45"/>
        <v>0</v>
      </c>
      <c r="L199" s="94">
        <f t="shared" si="46"/>
        <v>0</v>
      </c>
      <c r="M199" s="78">
        <f t="shared" si="47"/>
        <v>0</v>
      </c>
      <c r="N199" s="79">
        <f t="shared" si="48"/>
        <v>0</v>
      </c>
      <c r="O199" s="94">
        <f t="shared" si="49"/>
        <v>0</v>
      </c>
      <c r="P199" s="106">
        <f t="shared" si="50"/>
        <v>0</v>
      </c>
      <c r="Q199" s="94">
        <f t="shared" si="39"/>
        <v>0</v>
      </c>
      <c r="R199" s="78">
        <f t="shared" si="40"/>
        <v>0</v>
      </c>
      <c r="S199" s="84">
        <f t="shared" si="41"/>
        <v>0</v>
      </c>
      <c r="T199"/>
      <c r="U199"/>
      <c r="V199"/>
    </row>
    <row r="200" spans="1:22" s="16" customFormat="1" ht="15" customHeight="1" outlineLevel="1" x14ac:dyDescent="0.45">
      <c r="A200"/>
      <c r="B200" s="75"/>
      <c r="C200" s="78"/>
      <c r="D200" s="105"/>
      <c r="E200" s="106"/>
      <c r="F200" s="71"/>
      <c r="G200" s="78">
        <f t="shared" si="51"/>
        <v>0</v>
      </c>
      <c r="H200" s="3">
        <f t="shared" si="42"/>
        <v>0</v>
      </c>
      <c r="I200" s="20">
        <f t="shared" si="43"/>
        <v>0</v>
      </c>
      <c r="J200" s="94">
        <f t="shared" si="44"/>
        <v>0</v>
      </c>
      <c r="K200" s="20">
        <f t="shared" si="45"/>
        <v>0</v>
      </c>
      <c r="L200" s="94">
        <f t="shared" si="46"/>
        <v>0</v>
      </c>
      <c r="M200" s="78">
        <f t="shared" si="47"/>
        <v>0</v>
      </c>
      <c r="N200" s="79">
        <f t="shared" si="48"/>
        <v>0</v>
      </c>
      <c r="O200" s="94">
        <f t="shared" si="49"/>
        <v>0</v>
      </c>
      <c r="P200" s="106">
        <f t="shared" si="50"/>
        <v>0</v>
      </c>
      <c r="Q200" s="94">
        <f t="shared" si="39"/>
        <v>0</v>
      </c>
      <c r="R200" s="78">
        <f t="shared" si="40"/>
        <v>0</v>
      </c>
      <c r="S200" s="84">
        <f t="shared" si="41"/>
        <v>0</v>
      </c>
      <c r="T200"/>
      <c r="U200"/>
      <c r="V200"/>
    </row>
    <row r="201" spans="1:22" s="16" customFormat="1" ht="15" customHeight="1" outlineLevel="1" x14ac:dyDescent="0.45">
      <c r="A201"/>
      <c r="B201" s="75"/>
      <c r="C201" s="78"/>
      <c r="D201" s="105"/>
      <c r="E201" s="106"/>
      <c r="F201" s="71"/>
      <c r="G201" s="78">
        <f t="shared" si="51"/>
        <v>0</v>
      </c>
      <c r="H201" s="3">
        <f t="shared" si="42"/>
        <v>0</v>
      </c>
      <c r="I201" s="20">
        <f t="shared" si="43"/>
        <v>0</v>
      </c>
      <c r="J201" s="94">
        <f t="shared" si="44"/>
        <v>0</v>
      </c>
      <c r="K201" s="20">
        <f t="shared" si="45"/>
        <v>0</v>
      </c>
      <c r="L201" s="94">
        <f t="shared" si="46"/>
        <v>0</v>
      </c>
      <c r="M201" s="78">
        <f t="shared" si="47"/>
        <v>0</v>
      </c>
      <c r="N201" s="79">
        <f t="shared" si="48"/>
        <v>0</v>
      </c>
      <c r="O201" s="94">
        <f t="shared" si="49"/>
        <v>0</v>
      </c>
      <c r="P201" s="106">
        <f t="shared" si="50"/>
        <v>0</v>
      </c>
      <c r="Q201" s="94">
        <f t="shared" si="39"/>
        <v>0</v>
      </c>
      <c r="R201" s="78">
        <f t="shared" si="40"/>
        <v>0</v>
      </c>
      <c r="S201" s="84">
        <f t="shared" si="41"/>
        <v>0</v>
      </c>
      <c r="T201"/>
      <c r="U201"/>
      <c r="V201"/>
    </row>
    <row r="202" spans="1:22" s="16" customFormat="1" ht="15" customHeight="1" outlineLevel="1" x14ac:dyDescent="0.45">
      <c r="A202"/>
      <c r="B202" s="75"/>
      <c r="C202" s="78"/>
      <c r="D202" s="105"/>
      <c r="E202" s="106"/>
      <c r="F202" s="71"/>
      <c r="G202" s="78">
        <f t="shared" si="51"/>
        <v>0</v>
      </c>
      <c r="H202" s="3">
        <f t="shared" si="42"/>
        <v>0</v>
      </c>
      <c r="I202" s="20">
        <f t="shared" si="43"/>
        <v>0</v>
      </c>
      <c r="J202" s="94">
        <f t="shared" si="44"/>
        <v>0</v>
      </c>
      <c r="K202" s="20">
        <f t="shared" si="45"/>
        <v>0</v>
      </c>
      <c r="L202" s="94">
        <f t="shared" si="46"/>
        <v>0</v>
      </c>
      <c r="M202" s="78">
        <f t="shared" si="47"/>
        <v>0</v>
      </c>
      <c r="N202" s="79">
        <f t="shared" si="48"/>
        <v>0</v>
      </c>
      <c r="O202" s="94">
        <f t="shared" si="49"/>
        <v>0</v>
      </c>
      <c r="P202" s="106">
        <f t="shared" si="50"/>
        <v>0</v>
      </c>
      <c r="Q202" s="94">
        <f t="shared" si="39"/>
        <v>0</v>
      </c>
      <c r="R202" s="78">
        <f t="shared" si="40"/>
        <v>0</v>
      </c>
      <c r="S202" s="84">
        <f t="shared" si="41"/>
        <v>0</v>
      </c>
      <c r="T202"/>
      <c r="U202"/>
      <c r="V202"/>
    </row>
    <row r="203" spans="1:22" s="16" customFormat="1" ht="15" customHeight="1" outlineLevel="1" x14ac:dyDescent="0.45">
      <c r="A203"/>
      <c r="B203" s="75"/>
      <c r="C203" s="78"/>
      <c r="D203" s="105"/>
      <c r="E203" s="106"/>
      <c r="F203" s="71"/>
      <c r="G203" s="78">
        <f t="shared" si="51"/>
        <v>0</v>
      </c>
      <c r="H203" s="3">
        <f t="shared" si="42"/>
        <v>0</v>
      </c>
      <c r="I203" s="20">
        <f t="shared" si="43"/>
        <v>0</v>
      </c>
      <c r="J203" s="94">
        <f t="shared" si="44"/>
        <v>0</v>
      </c>
      <c r="K203" s="20">
        <f t="shared" si="45"/>
        <v>0</v>
      </c>
      <c r="L203" s="94">
        <f t="shared" si="46"/>
        <v>0</v>
      </c>
      <c r="M203" s="78">
        <f t="shared" si="47"/>
        <v>0</v>
      </c>
      <c r="N203" s="79">
        <f t="shared" si="48"/>
        <v>0</v>
      </c>
      <c r="O203" s="94">
        <f t="shared" si="49"/>
        <v>0</v>
      </c>
      <c r="P203" s="106">
        <f t="shared" si="50"/>
        <v>0</v>
      </c>
      <c r="Q203" s="94">
        <f t="shared" si="39"/>
        <v>0</v>
      </c>
      <c r="R203" s="78">
        <f t="shared" si="40"/>
        <v>0</v>
      </c>
      <c r="S203" s="84">
        <f t="shared" si="41"/>
        <v>0</v>
      </c>
      <c r="T203"/>
      <c r="U203"/>
      <c r="V203"/>
    </row>
    <row r="204" spans="1:22" s="16" customFormat="1" ht="15" customHeight="1" outlineLevel="1" x14ac:dyDescent="0.45">
      <c r="A204"/>
      <c r="B204" s="75"/>
      <c r="C204" s="78"/>
      <c r="D204" s="105"/>
      <c r="E204" s="106"/>
      <c r="F204" s="71"/>
      <c r="G204" s="78">
        <f t="shared" si="51"/>
        <v>0</v>
      </c>
      <c r="H204" s="3">
        <f t="shared" si="42"/>
        <v>0</v>
      </c>
      <c r="I204" s="20">
        <f t="shared" si="43"/>
        <v>0</v>
      </c>
      <c r="J204" s="94">
        <f t="shared" si="44"/>
        <v>0</v>
      </c>
      <c r="K204" s="20">
        <f t="shared" si="45"/>
        <v>0</v>
      </c>
      <c r="L204" s="94">
        <f t="shared" si="46"/>
        <v>0</v>
      </c>
      <c r="M204" s="78">
        <f t="shared" si="47"/>
        <v>0</v>
      </c>
      <c r="N204" s="79">
        <f t="shared" si="48"/>
        <v>0</v>
      </c>
      <c r="O204" s="94">
        <f t="shared" si="49"/>
        <v>0</v>
      </c>
      <c r="P204" s="106">
        <f t="shared" si="50"/>
        <v>0</v>
      </c>
      <c r="Q204" s="94">
        <f t="shared" si="39"/>
        <v>0</v>
      </c>
      <c r="R204" s="78">
        <f t="shared" si="40"/>
        <v>0</v>
      </c>
      <c r="S204" s="84">
        <f t="shared" si="41"/>
        <v>0</v>
      </c>
      <c r="T204"/>
      <c r="U204"/>
      <c r="V204"/>
    </row>
    <row r="205" spans="1:22" s="16" customFormat="1" ht="15" customHeight="1" outlineLevel="1" x14ac:dyDescent="0.45">
      <c r="A205"/>
      <c r="B205" s="75"/>
      <c r="C205" s="78"/>
      <c r="D205" s="105"/>
      <c r="E205" s="106"/>
      <c r="F205" s="71"/>
      <c r="G205" s="78">
        <f t="shared" si="51"/>
        <v>0</v>
      </c>
      <c r="H205" s="3">
        <f t="shared" si="42"/>
        <v>0</v>
      </c>
      <c r="I205" s="20">
        <f t="shared" si="43"/>
        <v>0</v>
      </c>
      <c r="J205" s="94">
        <f t="shared" si="44"/>
        <v>0</v>
      </c>
      <c r="K205" s="20">
        <f t="shared" si="45"/>
        <v>0</v>
      </c>
      <c r="L205" s="94">
        <f t="shared" si="46"/>
        <v>0</v>
      </c>
      <c r="M205" s="78">
        <f t="shared" si="47"/>
        <v>0</v>
      </c>
      <c r="N205" s="79">
        <f t="shared" si="48"/>
        <v>0</v>
      </c>
      <c r="O205" s="94">
        <f t="shared" si="49"/>
        <v>0</v>
      </c>
      <c r="P205" s="106">
        <f t="shared" si="50"/>
        <v>0</v>
      </c>
      <c r="Q205" s="94">
        <f t="shared" si="39"/>
        <v>0</v>
      </c>
      <c r="R205" s="78">
        <f t="shared" si="40"/>
        <v>0</v>
      </c>
      <c r="S205" s="84">
        <f t="shared" si="41"/>
        <v>0</v>
      </c>
      <c r="T205"/>
      <c r="U205"/>
      <c r="V205"/>
    </row>
    <row r="206" spans="1:22" s="16" customFormat="1" ht="15" customHeight="1" outlineLevel="1" x14ac:dyDescent="0.45">
      <c r="A206"/>
      <c r="B206" s="75"/>
      <c r="C206" s="78"/>
      <c r="D206" s="105"/>
      <c r="E206" s="106"/>
      <c r="F206" s="71"/>
      <c r="G206" s="78">
        <f t="shared" si="51"/>
        <v>0</v>
      </c>
      <c r="H206" s="3">
        <f t="shared" si="42"/>
        <v>0</v>
      </c>
      <c r="I206" s="20">
        <f t="shared" si="43"/>
        <v>0</v>
      </c>
      <c r="J206" s="94">
        <f t="shared" si="44"/>
        <v>0</v>
      </c>
      <c r="K206" s="20">
        <f t="shared" si="45"/>
        <v>0</v>
      </c>
      <c r="L206" s="94">
        <f t="shared" si="46"/>
        <v>0</v>
      </c>
      <c r="M206" s="78">
        <f t="shared" si="47"/>
        <v>0</v>
      </c>
      <c r="N206" s="79">
        <f t="shared" si="48"/>
        <v>0</v>
      </c>
      <c r="O206" s="94">
        <f t="shared" si="49"/>
        <v>0</v>
      </c>
      <c r="P206" s="106">
        <f t="shared" si="50"/>
        <v>0</v>
      </c>
      <c r="Q206" s="94">
        <f t="shared" si="39"/>
        <v>0</v>
      </c>
      <c r="R206" s="78">
        <f t="shared" si="40"/>
        <v>0</v>
      </c>
      <c r="S206" s="84">
        <f t="shared" si="41"/>
        <v>0</v>
      </c>
      <c r="T206"/>
      <c r="U206"/>
      <c r="V206"/>
    </row>
    <row r="207" spans="1:22" s="16" customFormat="1" ht="15" customHeight="1" outlineLevel="1" x14ac:dyDescent="0.45">
      <c r="A207"/>
      <c r="B207" s="75"/>
      <c r="C207" s="78"/>
      <c r="D207" s="105"/>
      <c r="E207" s="106"/>
      <c r="F207" s="71"/>
      <c r="G207" s="78">
        <f t="shared" si="51"/>
        <v>0</v>
      </c>
      <c r="H207" s="3">
        <f t="shared" si="42"/>
        <v>0</v>
      </c>
      <c r="I207" s="20">
        <f t="shared" si="43"/>
        <v>0</v>
      </c>
      <c r="J207" s="94">
        <f t="shared" si="44"/>
        <v>0</v>
      </c>
      <c r="K207" s="20">
        <f t="shared" si="45"/>
        <v>0</v>
      </c>
      <c r="L207" s="94">
        <f t="shared" si="46"/>
        <v>0</v>
      </c>
      <c r="M207" s="78">
        <f t="shared" si="47"/>
        <v>0</v>
      </c>
      <c r="N207" s="79">
        <f t="shared" si="48"/>
        <v>0</v>
      </c>
      <c r="O207" s="94">
        <f t="shared" si="49"/>
        <v>0</v>
      </c>
      <c r="P207" s="106">
        <f t="shared" si="50"/>
        <v>0</v>
      </c>
      <c r="Q207" s="94">
        <f t="shared" si="39"/>
        <v>0</v>
      </c>
      <c r="R207" s="78">
        <f t="shared" si="40"/>
        <v>0</v>
      </c>
      <c r="S207" s="84">
        <f t="shared" si="41"/>
        <v>0</v>
      </c>
      <c r="T207"/>
      <c r="U207"/>
      <c r="V207"/>
    </row>
    <row r="208" spans="1:22" s="16" customFormat="1" ht="15" customHeight="1" outlineLevel="1" x14ac:dyDescent="0.45">
      <c r="A208"/>
      <c r="B208" s="75"/>
      <c r="C208" s="78"/>
      <c r="D208" s="105"/>
      <c r="E208" s="106"/>
      <c r="F208" s="71"/>
      <c r="G208" s="78">
        <f t="shared" si="51"/>
        <v>0</v>
      </c>
      <c r="H208" s="3">
        <f t="shared" si="42"/>
        <v>0</v>
      </c>
      <c r="I208" s="20">
        <f t="shared" si="43"/>
        <v>0</v>
      </c>
      <c r="J208" s="94">
        <f t="shared" si="44"/>
        <v>0</v>
      </c>
      <c r="K208" s="20">
        <f t="shared" si="45"/>
        <v>0</v>
      </c>
      <c r="L208" s="94">
        <f t="shared" si="46"/>
        <v>0</v>
      </c>
      <c r="M208" s="78">
        <f t="shared" si="47"/>
        <v>0</v>
      </c>
      <c r="N208" s="79">
        <f t="shared" si="48"/>
        <v>0</v>
      </c>
      <c r="O208" s="94">
        <f t="shared" si="49"/>
        <v>0</v>
      </c>
      <c r="P208" s="106">
        <f t="shared" si="50"/>
        <v>0</v>
      </c>
      <c r="Q208" s="94">
        <f t="shared" si="39"/>
        <v>0</v>
      </c>
      <c r="R208" s="78">
        <f t="shared" si="40"/>
        <v>0</v>
      </c>
      <c r="S208" s="84">
        <f t="shared" si="41"/>
        <v>0</v>
      </c>
      <c r="T208"/>
      <c r="U208"/>
      <c r="V208"/>
    </row>
    <row r="209" spans="1:22" s="16" customFormat="1" ht="15" customHeight="1" outlineLevel="1" x14ac:dyDescent="0.45">
      <c r="A209"/>
      <c r="B209" s="75"/>
      <c r="C209" s="78"/>
      <c r="D209" s="105"/>
      <c r="E209" s="106"/>
      <c r="F209" s="71"/>
      <c r="G209" s="78">
        <f t="shared" si="51"/>
        <v>0</v>
      </c>
      <c r="H209" s="3">
        <f t="shared" si="42"/>
        <v>0</v>
      </c>
      <c r="I209" s="20">
        <f t="shared" si="43"/>
        <v>0</v>
      </c>
      <c r="J209" s="94">
        <f t="shared" si="44"/>
        <v>0</v>
      </c>
      <c r="K209" s="20">
        <f t="shared" si="45"/>
        <v>0</v>
      </c>
      <c r="L209" s="94">
        <f t="shared" si="46"/>
        <v>0</v>
      </c>
      <c r="M209" s="78">
        <f t="shared" si="47"/>
        <v>0</v>
      </c>
      <c r="N209" s="79">
        <f t="shared" si="48"/>
        <v>0</v>
      </c>
      <c r="O209" s="94">
        <f t="shared" si="49"/>
        <v>0</v>
      </c>
      <c r="P209" s="106">
        <f t="shared" si="50"/>
        <v>0</v>
      </c>
      <c r="Q209" s="94">
        <f t="shared" si="39"/>
        <v>0</v>
      </c>
      <c r="R209" s="78">
        <f t="shared" si="40"/>
        <v>0</v>
      </c>
      <c r="S209" s="84">
        <f t="shared" si="41"/>
        <v>0</v>
      </c>
      <c r="T209"/>
      <c r="U209"/>
      <c r="V209"/>
    </row>
    <row r="210" spans="1:22" s="16" customFormat="1" ht="15" customHeight="1" outlineLevel="1" x14ac:dyDescent="0.45">
      <c r="A210"/>
      <c r="B210" s="75"/>
      <c r="C210" s="78"/>
      <c r="D210" s="105"/>
      <c r="E210" s="106"/>
      <c r="F210" s="71"/>
      <c r="G210" s="78">
        <f t="shared" si="51"/>
        <v>0</v>
      </c>
      <c r="H210" s="3">
        <f t="shared" si="42"/>
        <v>0</v>
      </c>
      <c r="I210" s="20">
        <f t="shared" si="43"/>
        <v>0</v>
      </c>
      <c r="J210" s="94">
        <f t="shared" si="44"/>
        <v>0</v>
      </c>
      <c r="K210" s="20">
        <f t="shared" si="45"/>
        <v>0</v>
      </c>
      <c r="L210" s="94">
        <f t="shared" si="46"/>
        <v>0</v>
      </c>
      <c r="M210" s="78">
        <f t="shared" si="47"/>
        <v>0</v>
      </c>
      <c r="N210" s="79">
        <f t="shared" si="48"/>
        <v>0</v>
      </c>
      <c r="O210" s="94">
        <f t="shared" si="49"/>
        <v>0</v>
      </c>
      <c r="P210" s="106">
        <f t="shared" si="50"/>
        <v>0</v>
      </c>
      <c r="Q210" s="94">
        <f t="shared" si="39"/>
        <v>0</v>
      </c>
      <c r="R210" s="78">
        <f t="shared" si="40"/>
        <v>0</v>
      </c>
      <c r="S210" s="84">
        <f t="shared" si="41"/>
        <v>0</v>
      </c>
      <c r="T210"/>
      <c r="U210"/>
      <c r="V210"/>
    </row>
    <row r="211" spans="1:22" s="16" customFormat="1" ht="15" customHeight="1" outlineLevel="1" x14ac:dyDescent="0.45">
      <c r="A211"/>
      <c r="B211" s="75"/>
      <c r="C211" s="78"/>
      <c r="D211" s="105"/>
      <c r="E211" s="106"/>
      <c r="F211" s="71"/>
      <c r="G211" s="78">
        <f t="shared" si="51"/>
        <v>0</v>
      </c>
      <c r="H211" s="3">
        <f t="shared" si="42"/>
        <v>0</v>
      </c>
      <c r="I211" s="20">
        <f t="shared" si="43"/>
        <v>0</v>
      </c>
      <c r="J211" s="94">
        <f t="shared" si="44"/>
        <v>0</v>
      </c>
      <c r="K211" s="20">
        <f t="shared" si="45"/>
        <v>0</v>
      </c>
      <c r="L211" s="94">
        <f t="shared" si="46"/>
        <v>0</v>
      </c>
      <c r="M211" s="78">
        <f t="shared" si="47"/>
        <v>0</v>
      </c>
      <c r="N211" s="79">
        <f t="shared" si="48"/>
        <v>0</v>
      </c>
      <c r="O211" s="94">
        <f t="shared" si="49"/>
        <v>0</v>
      </c>
      <c r="P211" s="106">
        <f t="shared" si="50"/>
        <v>0</v>
      </c>
      <c r="Q211" s="94">
        <f t="shared" si="39"/>
        <v>0</v>
      </c>
      <c r="R211" s="78">
        <f t="shared" si="40"/>
        <v>0</v>
      </c>
      <c r="S211" s="84">
        <f t="shared" si="41"/>
        <v>0</v>
      </c>
      <c r="T211"/>
      <c r="U211"/>
      <c r="V211"/>
    </row>
    <row r="212" spans="1:22" s="16" customFormat="1" ht="15" customHeight="1" outlineLevel="1" x14ac:dyDescent="0.45">
      <c r="A212"/>
      <c r="B212" s="75"/>
      <c r="C212" s="78"/>
      <c r="D212" s="105"/>
      <c r="E212" s="106"/>
      <c r="F212" s="71"/>
      <c r="G212" s="78">
        <f t="shared" si="51"/>
        <v>0</v>
      </c>
      <c r="H212" s="3">
        <f t="shared" si="42"/>
        <v>0</v>
      </c>
      <c r="I212" s="20">
        <f t="shared" si="43"/>
        <v>0</v>
      </c>
      <c r="J212" s="94">
        <f t="shared" si="44"/>
        <v>0</v>
      </c>
      <c r="K212" s="20">
        <f t="shared" si="45"/>
        <v>0</v>
      </c>
      <c r="L212" s="94">
        <f t="shared" si="46"/>
        <v>0</v>
      </c>
      <c r="M212" s="78">
        <f t="shared" si="47"/>
        <v>0</v>
      </c>
      <c r="N212" s="79">
        <f t="shared" si="48"/>
        <v>0</v>
      </c>
      <c r="O212" s="94">
        <f t="shared" si="49"/>
        <v>0</v>
      </c>
      <c r="P212" s="106">
        <f t="shared" si="50"/>
        <v>0</v>
      </c>
      <c r="Q212" s="94">
        <f t="shared" si="39"/>
        <v>0</v>
      </c>
      <c r="R212" s="78">
        <f t="shared" si="40"/>
        <v>0</v>
      </c>
      <c r="S212" s="84">
        <f t="shared" si="41"/>
        <v>0</v>
      </c>
      <c r="T212"/>
      <c r="U212"/>
      <c r="V212"/>
    </row>
    <row r="213" spans="1:22" s="16" customFormat="1" ht="15" customHeight="1" outlineLevel="1" x14ac:dyDescent="0.45">
      <c r="A213"/>
      <c r="B213" s="75"/>
      <c r="C213" s="78"/>
      <c r="D213" s="105"/>
      <c r="E213" s="106"/>
      <c r="F213" s="71"/>
      <c r="G213" s="78">
        <f t="shared" si="51"/>
        <v>0</v>
      </c>
      <c r="H213" s="3">
        <f t="shared" si="42"/>
        <v>0</v>
      </c>
      <c r="I213" s="20">
        <f t="shared" si="43"/>
        <v>0</v>
      </c>
      <c r="J213" s="94">
        <f t="shared" si="44"/>
        <v>0</v>
      </c>
      <c r="K213" s="20">
        <f t="shared" si="45"/>
        <v>0</v>
      </c>
      <c r="L213" s="94">
        <f t="shared" si="46"/>
        <v>0</v>
      </c>
      <c r="M213" s="78">
        <f t="shared" si="47"/>
        <v>0</v>
      </c>
      <c r="N213" s="79">
        <f t="shared" si="48"/>
        <v>0</v>
      </c>
      <c r="O213" s="94">
        <f t="shared" si="49"/>
        <v>0</v>
      </c>
      <c r="P213" s="106">
        <f t="shared" si="50"/>
        <v>0</v>
      </c>
      <c r="Q213" s="94">
        <f t="shared" si="39"/>
        <v>0</v>
      </c>
      <c r="R213" s="78">
        <f t="shared" si="40"/>
        <v>0</v>
      </c>
      <c r="S213" s="84">
        <f t="shared" si="41"/>
        <v>0</v>
      </c>
      <c r="T213"/>
      <c r="U213"/>
      <c r="V213"/>
    </row>
    <row r="214" spans="1:22" s="16" customFormat="1" ht="15" customHeight="1" outlineLevel="1" x14ac:dyDescent="0.45">
      <c r="A214"/>
      <c r="B214" s="75"/>
      <c r="C214" s="78"/>
      <c r="D214" s="105"/>
      <c r="E214" s="106"/>
      <c r="F214" s="71"/>
      <c r="G214" s="78">
        <f t="shared" si="51"/>
        <v>0</v>
      </c>
      <c r="H214" s="3">
        <f t="shared" si="42"/>
        <v>0</v>
      </c>
      <c r="I214" s="20">
        <f t="shared" si="43"/>
        <v>0</v>
      </c>
      <c r="J214" s="94">
        <f t="shared" si="44"/>
        <v>0</v>
      </c>
      <c r="K214" s="20">
        <f t="shared" si="45"/>
        <v>0</v>
      </c>
      <c r="L214" s="94">
        <f t="shared" si="46"/>
        <v>0</v>
      </c>
      <c r="M214" s="78">
        <f t="shared" si="47"/>
        <v>0</v>
      </c>
      <c r="N214" s="79">
        <f t="shared" si="48"/>
        <v>0</v>
      </c>
      <c r="O214" s="94">
        <f t="shared" si="49"/>
        <v>0</v>
      </c>
      <c r="P214" s="106">
        <f t="shared" si="50"/>
        <v>0</v>
      </c>
      <c r="Q214" s="94">
        <f t="shared" si="39"/>
        <v>0</v>
      </c>
      <c r="R214" s="78">
        <f t="shared" si="40"/>
        <v>0</v>
      </c>
      <c r="S214" s="84">
        <f t="shared" si="41"/>
        <v>0</v>
      </c>
      <c r="T214"/>
      <c r="U214"/>
      <c r="V214"/>
    </row>
    <row r="215" spans="1:22" s="16" customFormat="1" ht="15" customHeight="1" outlineLevel="1" x14ac:dyDescent="0.45">
      <c r="A215"/>
      <c r="B215" s="75"/>
      <c r="C215" s="78"/>
      <c r="D215" s="105"/>
      <c r="E215" s="106"/>
      <c r="F215" s="71"/>
      <c r="G215" s="78">
        <f t="shared" si="51"/>
        <v>0</v>
      </c>
      <c r="H215" s="3">
        <f t="shared" si="42"/>
        <v>0</v>
      </c>
      <c r="I215" s="20">
        <f t="shared" si="43"/>
        <v>0</v>
      </c>
      <c r="J215" s="94">
        <f t="shared" si="44"/>
        <v>0</v>
      </c>
      <c r="K215" s="20">
        <f t="shared" si="45"/>
        <v>0</v>
      </c>
      <c r="L215" s="94">
        <f t="shared" si="46"/>
        <v>0</v>
      </c>
      <c r="M215" s="78">
        <f t="shared" si="47"/>
        <v>0</v>
      </c>
      <c r="N215" s="79">
        <f t="shared" si="48"/>
        <v>0</v>
      </c>
      <c r="O215" s="94">
        <f t="shared" si="49"/>
        <v>0</v>
      </c>
      <c r="P215" s="106">
        <f t="shared" si="50"/>
        <v>0</v>
      </c>
      <c r="Q215" s="94">
        <f t="shared" si="39"/>
        <v>0</v>
      </c>
      <c r="R215" s="78">
        <f t="shared" si="40"/>
        <v>0</v>
      </c>
      <c r="S215" s="84">
        <f t="shared" si="41"/>
        <v>0</v>
      </c>
      <c r="T215"/>
      <c r="U215"/>
      <c r="V215"/>
    </row>
    <row r="216" spans="1:22" s="16" customFormat="1" ht="15" customHeight="1" outlineLevel="1" x14ac:dyDescent="0.45">
      <c r="A216"/>
      <c r="B216" s="75"/>
      <c r="C216" s="78"/>
      <c r="D216" s="105"/>
      <c r="E216" s="106"/>
      <c r="F216" s="71"/>
      <c r="G216" s="78">
        <f t="shared" si="51"/>
        <v>0</v>
      </c>
      <c r="H216" s="3">
        <f t="shared" si="42"/>
        <v>0</v>
      </c>
      <c r="I216" s="20">
        <f t="shared" si="43"/>
        <v>0</v>
      </c>
      <c r="J216" s="94">
        <f t="shared" si="44"/>
        <v>0</v>
      </c>
      <c r="K216" s="20">
        <f t="shared" si="45"/>
        <v>0</v>
      </c>
      <c r="L216" s="94">
        <f t="shared" si="46"/>
        <v>0</v>
      </c>
      <c r="M216" s="78">
        <f t="shared" si="47"/>
        <v>0</v>
      </c>
      <c r="N216" s="79">
        <f t="shared" si="48"/>
        <v>0</v>
      </c>
      <c r="O216" s="94">
        <f t="shared" si="49"/>
        <v>0</v>
      </c>
      <c r="P216" s="106">
        <f t="shared" si="50"/>
        <v>0</v>
      </c>
      <c r="Q216" s="94">
        <f t="shared" si="39"/>
        <v>0</v>
      </c>
      <c r="R216" s="78">
        <f t="shared" si="40"/>
        <v>0</v>
      </c>
      <c r="S216" s="84">
        <f t="shared" si="41"/>
        <v>0</v>
      </c>
      <c r="T216"/>
      <c r="U216"/>
      <c r="V216"/>
    </row>
    <row r="217" spans="1:22" s="16" customFormat="1" ht="15" customHeight="1" outlineLevel="1" x14ac:dyDescent="0.45">
      <c r="A217"/>
      <c r="B217" s="75"/>
      <c r="C217" s="78"/>
      <c r="D217" s="105"/>
      <c r="E217" s="106"/>
      <c r="F217" s="71"/>
      <c r="G217" s="78">
        <f t="shared" si="51"/>
        <v>0</v>
      </c>
      <c r="H217" s="3">
        <f t="shared" si="42"/>
        <v>0</v>
      </c>
      <c r="I217" s="20">
        <f t="shared" si="43"/>
        <v>0</v>
      </c>
      <c r="J217" s="94">
        <f t="shared" si="44"/>
        <v>0</v>
      </c>
      <c r="K217" s="20">
        <f t="shared" si="45"/>
        <v>0</v>
      </c>
      <c r="L217" s="94">
        <f t="shared" si="46"/>
        <v>0</v>
      </c>
      <c r="M217" s="78">
        <f t="shared" si="47"/>
        <v>0</v>
      </c>
      <c r="N217" s="79">
        <f t="shared" si="48"/>
        <v>0</v>
      </c>
      <c r="O217" s="94">
        <f t="shared" si="49"/>
        <v>0</v>
      </c>
      <c r="P217" s="106">
        <f t="shared" si="50"/>
        <v>0</v>
      </c>
      <c r="Q217" s="94">
        <f t="shared" si="39"/>
        <v>0</v>
      </c>
      <c r="R217" s="78">
        <f t="shared" si="40"/>
        <v>0</v>
      </c>
      <c r="S217" s="84">
        <f t="shared" si="41"/>
        <v>0</v>
      </c>
      <c r="T217"/>
      <c r="U217"/>
      <c r="V217"/>
    </row>
    <row r="218" spans="1:22" s="16" customFormat="1" ht="15" customHeight="1" outlineLevel="1" x14ac:dyDescent="0.45">
      <c r="A218"/>
      <c r="B218" s="75"/>
      <c r="C218" s="78"/>
      <c r="D218" s="105"/>
      <c r="E218" s="106"/>
      <c r="F218" s="71"/>
      <c r="G218" s="78">
        <f t="shared" si="51"/>
        <v>0</v>
      </c>
      <c r="H218" s="3">
        <f t="shared" si="42"/>
        <v>0</v>
      </c>
      <c r="I218" s="20">
        <f t="shared" si="43"/>
        <v>0</v>
      </c>
      <c r="J218" s="94">
        <f t="shared" si="44"/>
        <v>0</v>
      </c>
      <c r="K218" s="20">
        <f t="shared" si="45"/>
        <v>0</v>
      </c>
      <c r="L218" s="94">
        <f t="shared" si="46"/>
        <v>0</v>
      </c>
      <c r="M218" s="78">
        <f t="shared" si="47"/>
        <v>0</v>
      </c>
      <c r="N218" s="79">
        <f t="shared" si="48"/>
        <v>0</v>
      </c>
      <c r="O218" s="94">
        <f t="shared" si="49"/>
        <v>0</v>
      </c>
      <c r="P218" s="106">
        <f t="shared" si="50"/>
        <v>0</v>
      </c>
      <c r="Q218" s="94">
        <f t="shared" si="39"/>
        <v>0</v>
      </c>
      <c r="R218" s="78">
        <f t="shared" si="40"/>
        <v>0</v>
      </c>
      <c r="S218" s="84">
        <f t="shared" si="41"/>
        <v>0</v>
      </c>
      <c r="T218"/>
      <c r="U218"/>
      <c r="V218"/>
    </row>
    <row r="219" spans="1:22" s="16" customFormat="1" ht="15" customHeight="1" outlineLevel="1" x14ac:dyDescent="0.45">
      <c r="A219"/>
      <c r="B219" s="75"/>
      <c r="C219" s="78"/>
      <c r="D219" s="105"/>
      <c r="E219" s="106"/>
      <c r="F219" s="71"/>
      <c r="G219" s="78">
        <f t="shared" si="51"/>
        <v>0</v>
      </c>
      <c r="H219" s="3">
        <f t="shared" si="42"/>
        <v>0</v>
      </c>
      <c r="I219" s="20">
        <f t="shared" si="43"/>
        <v>0</v>
      </c>
      <c r="J219" s="94">
        <f t="shared" si="44"/>
        <v>0</v>
      </c>
      <c r="K219" s="20">
        <f t="shared" si="45"/>
        <v>0</v>
      </c>
      <c r="L219" s="94">
        <f t="shared" si="46"/>
        <v>0</v>
      </c>
      <c r="M219" s="78">
        <f t="shared" si="47"/>
        <v>0</v>
      </c>
      <c r="N219" s="79">
        <f t="shared" si="48"/>
        <v>0</v>
      </c>
      <c r="O219" s="94">
        <f t="shared" si="49"/>
        <v>0</v>
      </c>
      <c r="P219" s="106">
        <f t="shared" si="50"/>
        <v>0</v>
      </c>
      <c r="Q219" s="94">
        <f t="shared" si="39"/>
        <v>0</v>
      </c>
      <c r="R219" s="78">
        <f t="shared" si="40"/>
        <v>0</v>
      </c>
      <c r="S219" s="84">
        <f t="shared" si="41"/>
        <v>0</v>
      </c>
      <c r="T219"/>
      <c r="U219"/>
      <c r="V219"/>
    </row>
    <row r="220" spans="1:22" s="16" customFormat="1" ht="15" customHeight="1" outlineLevel="1" x14ac:dyDescent="0.45">
      <c r="A220"/>
      <c r="B220" s="75"/>
      <c r="C220" s="78"/>
      <c r="D220" s="105"/>
      <c r="E220" s="106"/>
      <c r="F220" s="71"/>
      <c r="G220" s="78">
        <f t="shared" si="51"/>
        <v>0</v>
      </c>
      <c r="H220" s="3">
        <f t="shared" si="42"/>
        <v>0</v>
      </c>
      <c r="I220" s="20">
        <f t="shared" si="43"/>
        <v>0</v>
      </c>
      <c r="J220" s="94">
        <f t="shared" si="44"/>
        <v>0</v>
      </c>
      <c r="K220" s="20">
        <f t="shared" si="45"/>
        <v>0</v>
      </c>
      <c r="L220" s="94">
        <f t="shared" si="46"/>
        <v>0</v>
      </c>
      <c r="M220" s="78">
        <f t="shared" si="47"/>
        <v>0</v>
      </c>
      <c r="N220" s="79">
        <f t="shared" si="48"/>
        <v>0</v>
      </c>
      <c r="O220" s="94">
        <f t="shared" si="49"/>
        <v>0</v>
      </c>
      <c r="P220" s="106">
        <f t="shared" si="50"/>
        <v>0</v>
      </c>
      <c r="Q220" s="94">
        <f t="shared" si="39"/>
        <v>0</v>
      </c>
      <c r="R220" s="78">
        <f t="shared" si="40"/>
        <v>0</v>
      </c>
      <c r="S220" s="84">
        <f t="shared" si="41"/>
        <v>0</v>
      </c>
      <c r="T220"/>
      <c r="U220"/>
      <c r="V220"/>
    </row>
    <row r="221" spans="1:22" s="16" customFormat="1" ht="15" customHeight="1" outlineLevel="1" x14ac:dyDescent="0.45">
      <c r="A221"/>
      <c r="B221" s="75"/>
      <c r="C221" s="78"/>
      <c r="D221" s="105"/>
      <c r="E221" s="106"/>
      <c r="F221" s="71"/>
      <c r="G221" s="78">
        <f t="shared" si="51"/>
        <v>0</v>
      </c>
      <c r="H221" s="3">
        <f t="shared" si="42"/>
        <v>0</v>
      </c>
      <c r="I221" s="20">
        <f t="shared" si="43"/>
        <v>0</v>
      </c>
      <c r="J221" s="94">
        <f t="shared" si="44"/>
        <v>0</v>
      </c>
      <c r="K221" s="20">
        <f t="shared" si="45"/>
        <v>0</v>
      </c>
      <c r="L221" s="94">
        <f t="shared" si="46"/>
        <v>0</v>
      </c>
      <c r="M221" s="78">
        <f t="shared" si="47"/>
        <v>0</v>
      </c>
      <c r="N221" s="79">
        <f t="shared" si="48"/>
        <v>0</v>
      </c>
      <c r="O221" s="94">
        <f t="shared" si="49"/>
        <v>0</v>
      </c>
      <c r="P221" s="106">
        <f t="shared" si="50"/>
        <v>0</v>
      </c>
      <c r="Q221" s="94">
        <f t="shared" si="39"/>
        <v>0</v>
      </c>
      <c r="R221" s="78">
        <f t="shared" si="40"/>
        <v>0</v>
      </c>
      <c r="S221" s="84">
        <f t="shared" si="41"/>
        <v>0</v>
      </c>
      <c r="T221"/>
      <c r="U221"/>
      <c r="V221"/>
    </row>
    <row r="222" spans="1:22" s="16" customFormat="1" ht="15" customHeight="1" outlineLevel="1" x14ac:dyDescent="0.45">
      <c r="A222"/>
      <c r="B222" s="75"/>
      <c r="C222" s="78"/>
      <c r="D222" s="105"/>
      <c r="E222" s="106"/>
      <c r="F222" s="71"/>
      <c r="G222" s="78">
        <f t="shared" si="51"/>
        <v>0</v>
      </c>
      <c r="H222" s="3">
        <f t="shared" si="42"/>
        <v>0</v>
      </c>
      <c r="I222" s="20">
        <f t="shared" si="43"/>
        <v>0</v>
      </c>
      <c r="J222" s="94">
        <f t="shared" si="44"/>
        <v>0</v>
      </c>
      <c r="K222" s="20">
        <f t="shared" si="45"/>
        <v>0</v>
      </c>
      <c r="L222" s="94">
        <f t="shared" si="46"/>
        <v>0</v>
      </c>
      <c r="M222" s="78">
        <f t="shared" si="47"/>
        <v>0</v>
      </c>
      <c r="N222" s="79">
        <f t="shared" si="48"/>
        <v>0</v>
      </c>
      <c r="O222" s="94">
        <f t="shared" si="49"/>
        <v>0</v>
      </c>
      <c r="P222" s="106">
        <f t="shared" si="50"/>
        <v>0</v>
      </c>
      <c r="Q222" s="94">
        <f t="shared" si="39"/>
        <v>0</v>
      </c>
      <c r="R222" s="78">
        <f t="shared" si="40"/>
        <v>0</v>
      </c>
      <c r="S222" s="84">
        <f t="shared" si="41"/>
        <v>0</v>
      </c>
      <c r="T222"/>
      <c r="U222"/>
      <c r="V222"/>
    </row>
    <row r="223" spans="1:22" s="16" customFormat="1" ht="15" customHeight="1" outlineLevel="1" x14ac:dyDescent="0.45">
      <c r="A223"/>
      <c r="B223" s="75"/>
      <c r="C223" s="78"/>
      <c r="D223" s="105"/>
      <c r="E223" s="106"/>
      <c r="F223" s="71"/>
      <c r="G223" s="78">
        <f t="shared" si="51"/>
        <v>0</v>
      </c>
      <c r="H223" s="3">
        <f t="shared" si="42"/>
        <v>0</v>
      </c>
      <c r="I223" s="20">
        <f t="shared" si="43"/>
        <v>0</v>
      </c>
      <c r="J223" s="94">
        <f t="shared" si="44"/>
        <v>0</v>
      </c>
      <c r="K223" s="20">
        <f t="shared" si="45"/>
        <v>0</v>
      </c>
      <c r="L223" s="94">
        <f t="shared" si="46"/>
        <v>0</v>
      </c>
      <c r="M223" s="78">
        <f t="shared" si="47"/>
        <v>0</v>
      </c>
      <c r="N223" s="79">
        <f t="shared" si="48"/>
        <v>0</v>
      </c>
      <c r="O223" s="94">
        <f t="shared" si="49"/>
        <v>0</v>
      </c>
      <c r="P223" s="106">
        <f t="shared" si="50"/>
        <v>0</v>
      </c>
      <c r="Q223" s="94">
        <f t="shared" si="39"/>
        <v>0</v>
      </c>
      <c r="R223" s="78">
        <f t="shared" si="40"/>
        <v>0</v>
      </c>
      <c r="S223" s="84">
        <f t="shared" si="41"/>
        <v>0</v>
      </c>
      <c r="T223"/>
      <c r="U223"/>
      <c r="V223"/>
    </row>
    <row r="224" spans="1:22" s="16" customFormat="1" ht="15" customHeight="1" outlineLevel="1" x14ac:dyDescent="0.45">
      <c r="A224"/>
      <c r="B224" s="75"/>
      <c r="C224" s="78"/>
      <c r="D224" s="105"/>
      <c r="E224" s="106"/>
      <c r="F224" s="71"/>
      <c r="G224" s="78">
        <f t="shared" si="51"/>
        <v>0</v>
      </c>
      <c r="H224" s="3">
        <f t="shared" si="42"/>
        <v>0</v>
      </c>
      <c r="I224" s="20">
        <f t="shared" si="43"/>
        <v>0</v>
      </c>
      <c r="J224" s="94">
        <f t="shared" si="44"/>
        <v>0</v>
      </c>
      <c r="K224" s="20">
        <f t="shared" si="45"/>
        <v>0</v>
      </c>
      <c r="L224" s="94">
        <f t="shared" si="46"/>
        <v>0</v>
      </c>
      <c r="M224" s="78">
        <f t="shared" si="47"/>
        <v>0</v>
      </c>
      <c r="N224" s="79">
        <f t="shared" si="48"/>
        <v>0</v>
      </c>
      <c r="O224" s="94">
        <f t="shared" si="49"/>
        <v>0</v>
      </c>
      <c r="P224" s="106">
        <f t="shared" si="50"/>
        <v>0</v>
      </c>
      <c r="Q224" s="94">
        <f t="shared" si="39"/>
        <v>0</v>
      </c>
      <c r="R224" s="78">
        <f t="shared" si="40"/>
        <v>0</v>
      </c>
      <c r="S224" s="84">
        <f t="shared" si="41"/>
        <v>0</v>
      </c>
      <c r="T224"/>
      <c r="U224"/>
      <c r="V224"/>
    </row>
    <row r="225" spans="1:22" s="16" customFormat="1" ht="15" customHeight="1" outlineLevel="1" x14ac:dyDescent="0.45">
      <c r="A225"/>
      <c r="B225" s="75"/>
      <c r="C225" s="78"/>
      <c r="D225" s="105"/>
      <c r="E225" s="106"/>
      <c r="F225" s="71"/>
      <c r="G225" s="78">
        <f t="shared" si="51"/>
        <v>0</v>
      </c>
      <c r="H225" s="3">
        <f t="shared" si="42"/>
        <v>0</v>
      </c>
      <c r="I225" s="20">
        <f t="shared" si="43"/>
        <v>0</v>
      </c>
      <c r="J225" s="94">
        <f t="shared" si="44"/>
        <v>0</v>
      </c>
      <c r="K225" s="20">
        <f t="shared" si="45"/>
        <v>0</v>
      </c>
      <c r="L225" s="94">
        <f t="shared" si="46"/>
        <v>0</v>
      </c>
      <c r="M225" s="78">
        <f t="shared" si="47"/>
        <v>0</v>
      </c>
      <c r="N225" s="79">
        <f t="shared" si="48"/>
        <v>0</v>
      </c>
      <c r="O225" s="94">
        <f t="shared" si="49"/>
        <v>0</v>
      </c>
      <c r="P225" s="106">
        <f t="shared" si="50"/>
        <v>0</v>
      </c>
      <c r="Q225" s="94">
        <f t="shared" si="39"/>
        <v>0</v>
      </c>
      <c r="R225" s="78">
        <f t="shared" si="40"/>
        <v>0</v>
      </c>
      <c r="S225" s="84">
        <f t="shared" si="41"/>
        <v>0</v>
      </c>
      <c r="T225"/>
      <c r="U225"/>
      <c r="V225"/>
    </row>
    <row r="226" spans="1:22" s="16" customFormat="1" ht="15" customHeight="1" outlineLevel="1" x14ac:dyDescent="0.45">
      <c r="A226"/>
      <c r="B226" s="75"/>
      <c r="C226" s="78"/>
      <c r="D226" s="105"/>
      <c r="E226" s="106"/>
      <c r="F226" s="71"/>
      <c r="G226" s="78">
        <f t="shared" si="51"/>
        <v>0</v>
      </c>
      <c r="H226" s="3">
        <f t="shared" si="42"/>
        <v>0</v>
      </c>
      <c r="I226" s="20">
        <f t="shared" si="43"/>
        <v>0</v>
      </c>
      <c r="J226" s="94">
        <f t="shared" si="44"/>
        <v>0</v>
      </c>
      <c r="K226" s="20">
        <f t="shared" si="45"/>
        <v>0</v>
      </c>
      <c r="L226" s="94">
        <f t="shared" si="46"/>
        <v>0</v>
      </c>
      <c r="M226" s="78">
        <f t="shared" si="47"/>
        <v>0</v>
      </c>
      <c r="N226" s="79">
        <f t="shared" si="48"/>
        <v>0</v>
      </c>
      <c r="O226" s="94">
        <f t="shared" si="49"/>
        <v>0</v>
      </c>
      <c r="P226" s="106">
        <f t="shared" si="50"/>
        <v>0</v>
      </c>
      <c r="Q226" s="94">
        <f t="shared" si="39"/>
        <v>0</v>
      </c>
      <c r="R226" s="78">
        <f t="shared" si="40"/>
        <v>0</v>
      </c>
      <c r="S226" s="84">
        <f t="shared" si="41"/>
        <v>0</v>
      </c>
      <c r="T226"/>
      <c r="U226"/>
      <c r="V226"/>
    </row>
    <row r="227" spans="1:22" s="16" customFormat="1" ht="15" customHeight="1" outlineLevel="1" x14ac:dyDescent="0.45">
      <c r="A227"/>
      <c r="B227" s="75"/>
      <c r="C227" s="78"/>
      <c r="D227" s="105"/>
      <c r="E227" s="106"/>
      <c r="F227" s="71"/>
      <c r="G227" s="78">
        <f t="shared" si="51"/>
        <v>0</v>
      </c>
      <c r="H227" s="3">
        <f t="shared" si="42"/>
        <v>0</v>
      </c>
      <c r="I227" s="20">
        <f t="shared" si="43"/>
        <v>0</v>
      </c>
      <c r="J227" s="94">
        <f t="shared" si="44"/>
        <v>0</v>
      </c>
      <c r="K227" s="20">
        <f t="shared" si="45"/>
        <v>0</v>
      </c>
      <c r="L227" s="94">
        <f t="shared" si="46"/>
        <v>0</v>
      </c>
      <c r="M227" s="78">
        <f t="shared" si="47"/>
        <v>0</v>
      </c>
      <c r="N227" s="79">
        <f t="shared" si="48"/>
        <v>0</v>
      </c>
      <c r="O227" s="94">
        <f t="shared" si="49"/>
        <v>0</v>
      </c>
      <c r="P227" s="106">
        <f t="shared" si="50"/>
        <v>0</v>
      </c>
      <c r="Q227" s="94">
        <f t="shared" si="39"/>
        <v>0</v>
      </c>
      <c r="R227" s="78">
        <f t="shared" si="40"/>
        <v>0</v>
      </c>
      <c r="S227" s="84">
        <f t="shared" si="41"/>
        <v>0</v>
      </c>
      <c r="T227"/>
      <c r="U227"/>
      <c r="V227"/>
    </row>
    <row r="228" spans="1:22" s="16" customFormat="1" ht="15" customHeight="1" outlineLevel="1" x14ac:dyDescent="0.45">
      <c r="A228"/>
      <c r="B228" s="75"/>
      <c r="C228" s="78"/>
      <c r="D228" s="105"/>
      <c r="E228" s="106"/>
      <c r="F228" s="71"/>
      <c r="G228" s="78">
        <f t="shared" si="51"/>
        <v>0</v>
      </c>
      <c r="H228" s="3">
        <f t="shared" si="42"/>
        <v>0</v>
      </c>
      <c r="I228" s="20">
        <f t="shared" si="43"/>
        <v>0</v>
      </c>
      <c r="J228" s="94">
        <f t="shared" si="44"/>
        <v>0</v>
      </c>
      <c r="K228" s="20">
        <f t="shared" si="45"/>
        <v>0</v>
      </c>
      <c r="L228" s="94">
        <f t="shared" si="46"/>
        <v>0</v>
      </c>
      <c r="M228" s="78">
        <f t="shared" si="47"/>
        <v>0</v>
      </c>
      <c r="N228" s="79">
        <f t="shared" si="48"/>
        <v>0</v>
      </c>
      <c r="O228" s="94">
        <f t="shared" si="49"/>
        <v>0</v>
      </c>
      <c r="P228" s="106">
        <f t="shared" si="50"/>
        <v>0</v>
      </c>
      <c r="Q228" s="94">
        <f t="shared" si="39"/>
        <v>0</v>
      </c>
      <c r="R228" s="78">
        <f t="shared" si="40"/>
        <v>0</v>
      </c>
      <c r="S228" s="84">
        <f t="shared" si="41"/>
        <v>0</v>
      </c>
      <c r="T228"/>
      <c r="U228"/>
      <c r="V228"/>
    </row>
    <row r="229" spans="1:22" s="16" customFormat="1" ht="15" customHeight="1" outlineLevel="1" x14ac:dyDescent="0.45">
      <c r="A229"/>
      <c r="B229" s="75"/>
      <c r="C229" s="78"/>
      <c r="D229" s="105"/>
      <c r="E229" s="106"/>
      <c r="F229" s="71"/>
      <c r="G229" s="78">
        <f t="shared" si="51"/>
        <v>0</v>
      </c>
      <c r="H229" s="3">
        <f t="shared" si="42"/>
        <v>0</v>
      </c>
      <c r="I229" s="20">
        <f t="shared" si="43"/>
        <v>0</v>
      </c>
      <c r="J229" s="94">
        <f t="shared" si="44"/>
        <v>0</v>
      </c>
      <c r="K229" s="20">
        <f t="shared" si="45"/>
        <v>0</v>
      </c>
      <c r="L229" s="94">
        <f t="shared" si="46"/>
        <v>0</v>
      </c>
      <c r="M229" s="78">
        <f t="shared" si="47"/>
        <v>0</v>
      </c>
      <c r="N229" s="79">
        <f t="shared" si="48"/>
        <v>0</v>
      </c>
      <c r="O229" s="94">
        <f t="shared" si="49"/>
        <v>0</v>
      </c>
      <c r="P229" s="106">
        <f t="shared" si="50"/>
        <v>0</v>
      </c>
      <c r="Q229" s="94">
        <f t="shared" si="39"/>
        <v>0</v>
      </c>
      <c r="R229" s="78">
        <f t="shared" si="40"/>
        <v>0</v>
      </c>
      <c r="S229" s="84">
        <f t="shared" si="41"/>
        <v>0</v>
      </c>
      <c r="T229"/>
      <c r="U229"/>
      <c r="V229"/>
    </row>
    <row r="230" spans="1:22" s="16" customFormat="1" ht="15" customHeight="1" outlineLevel="1" x14ac:dyDescent="0.45">
      <c r="A230"/>
      <c r="B230" s="75"/>
      <c r="C230" s="78"/>
      <c r="D230" s="105"/>
      <c r="E230" s="106"/>
      <c r="F230" s="71"/>
      <c r="G230" s="78">
        <f t="shared" si="51"/>
        <v>0</v>
      </c>
      <c r="H230" s="3">
        <f t="shared" si="42"/>
        <v>0</v>
      </c>
      <c r="I230" s="20">
        <f t="shared" si="43"/>
        <v>0</v>
      </c>
      <c r="J230" s="94">
        <f t="shared" si="44"/>
        <v>0</v>
      </c>
      <c r="K230" s="20">
        <f t="shared" si="45"/>
        <v>0</v>
      </c>
      <c r="L230" s="94">
        <f t="shared" si="46"/>
        <v>0</v>
      </c>
      <c r="M230" s="78">
        <f t="shared" si="47"/>
        <v>0</v>
      </c>
      <c r="N230" s="79">
        <f t="shared" si="48"/>
        <v>0</v>
      </c>
      <c r="O230" s="94">
        <f t="shared" si="49"/>
        <v>0</v>
      </c>
      <c r="P230" s="106">
        <f t="shared" si="50"/>
        <v>0</v>
      </c>
      <c r="Q230" s="94">
        <f t="shared" si="39"/>
        <v>0</v>
      </c>
      <c r="R230" s="78">
        <f t="shared" si="40"/>
        <v>0</v>
      </c>
      <c r="S230" s="84">
        <f t="shared" si="41"/>
        <v>0</v>
      </c>
      <c r="T230"/>
      <c r="U230"/>
      <c r="V230"/>
    </row>
    <row r="231" spans="1:22" s="16" customFormat="1" ht="15" customHeight="1" outlineLevel="1" x14ac:dyDescent="0.45">
      <c r="A231"/>
      <c r="B231" s="75"/>
      <c r="C231" s="78"/>
      <c r="D231" s="105"/>
      <c r="E231" s="106"/>
      <c r="F231" s="71"/>
      <c r="G231" s="78">
        <f t="shared" si="51"/>
        <v>0</v>
      </c>
      <c r="H231" s="3">
        <f t="shared" si="42"/>
        <v>0</v>
      </c>
      <c r="I231" s="20">
        <f t="shared" si="43"/>
        <v>0</v>
      </c>
      <c r="J231" s="94">
        <f t="shared" si="44"/>
        <v>0</v>
      </c>
      <c r="K231" s="20">
        <f t="shared" si="45"/>
        <v>0</v>
      </c>
      <c r="L231" s="94">
        <f t="shared" si="46"/>
        <v>0</v>
      </c>
      <c r="M231" s="78">
        <f t="shared" si="47"/>
        <v>0</v>
      </c>
      <c r="N231" s="79">
        <f t="shared" si="48"/>
        <v>0</v>
      </c>
      <c r="O231" s="94">
        <f t="shared" si="49"/>
        <v>0</v>
      </c>
      <c r="P231" s="106">
        <f t="shared" si="50"/>
        <v>0</v>
      </c>
      <c r="Q231" s="94">
        <f t="shared" si="39"/>
        <v>0</v>
      </c>
      <c r="R231" s="78">
        <f t="shared" si="40"/>
        <v>0</v>
      </c>
      <c r="S231" s="84">
        <f t="shared" si="41"/>
        <v>0</v>
      </c>
      <c r="T231"/>
      <c r="U231"/>
      <c r="V231"/>
    </row>
    <row r="232" spans="1:22" s="16" customFormat="1" ht="15" customHeight="1" outlineLevel="1" x14ac:dyDescent="0.45">
      <c r="A232"/>
      <c r="B232" s="75"/>
      <c r="C232" s="78"/>
      <c r="D232" s="105"/>
      <c r="E232" s="106"/>
      <c r="F232" s="71"/>
      <c r="G232" s="78">
        <f t="shared" si="51"/>
        <v>0</v>
      </c>
      <c r="H232" s="3">
        <f t="shared" si="42"/>
        <v>0</v>
      </c>
      <c r="I232" s="20">
        <f t="shared" si="43"/>
        <v>0</v>
      </c>
      <c r="J232" s="94">
        <f t="shared" si="44"/>
        <v>0</v>
      </c>
      <c r="K232" s="20">
        <f t="shared" si="45"/>
        <v>0</v>
      </c>
      <c r="L232" s="94">
        <f t="shared" si="46"/>
        <v>0</v>
      </c>
      <c r="M232" s="78">
        <f t="shared" si="47"/>
        <v>0</v>
      </c>
      <c r="N232" s="79">
        <f t="shared" si="48"/>
        <v>0</v>
      </c>
      <c r="O232" s="94">
        <f t="shared" si="49"/>
        <v>0</v>
      </c>
      <c r="P232" s="106">
        <f t="shared" si="50"/>
        <v>0</v>
      </c>
      <c r="Q232" s="94">
        <f t="shared" si="39"/>
        <v>0</v>
      </c>
      <c r="R232" s="78">
        <f t="shared" si="40"/>
        <v>0</v>
      </c>
      <c r="S232" s="84">
        <f t="shared" si="41"/>
        <v>0</v>
      </c>
      <c r="T232"/>
      <c r="U232"/>
      <c r="V232"/>
    </row>
    <row r="233" spans="1:22" s="16" customFormat="1" ht="15" customHeight="1" outlineLevel="1" x14ac:dyDescent="0.45">
      <c r="A233"/>
      <c r="B233" s="75"/>
      <c r="C233" s="78"/>
      <c r="D233" s="105"/>
      <c r="E233" s="106"/>
      <c r="F233" s="71"/>
      <c r="G233" s="78">
        <f t="shared" si="51"/>
        <v>0</v>
      </c>
      <c r="H233" s="3">
        <f t="shared" si="42"/>
        <v>0</v>
      </c>
      <c r="I233" s="20">
        <f t="shared" si="43"/>
        <v>0</v>
      </c>
      <c r="J233" s="94">
        <f t="shared" si="44"/>
        <v>0</v>
      </c>
      <c r="K233" s="20">
        <f t="shared" si="45"/>
        <v>0</v>
      </c>
      <c r="L233" s="94">
        <f t="shared" si="46"/>
        <v>0</v>
      </c>
      <c r="M233" s="78">
        <f t="shared" si="47"/>
        <v>0</v>
      </c>
      <c r="N233" s="79">
        <f t="shared" si="48"/>
        <v>0</v>
      </c>
      <c r="O233" s="94">
        <f t="shared" si="49"/>
        <v>0</v>
      </c>
      <c r="P233" s="106">
        <f t="shared" si="50"/>
        <v>0</v>
      </c>
      <c r="Q233" s="94">
        <f t="shared" si="39"/>
        <v>0</v>
      </c>
      <c r="R233" s="78">
        <f t="shared" si="40"/>
        <v>0</v>
      </c>
      <c r="S233" s="84">
        <f t="shared" si="41"/>
        <v>0</v>
      </c>
      <c r="T233"/>
      <c r="U233"/>
      <c r="V233"/>
    </row>
    <row r="234" spans="1:22" s="16" customFormat="1" ht="15" customHeight="1" outlineLevel="1" x14ac:dyDescent="0.45">
      <c r="A234"/>
      <c r="B234" s="75"/>
      <c r="C234" s="78"/>
      <c r="D234" s="105"/>
      <c r="E234" s="106"/>
      <c r="F234" s="71"/>
      <c r="G234" s="78">
        <f t="shared" si="51"/>
        <v>0</v>
      </c>
      <c r="H234" s="3">
        <f t="shared" si="42"/>
        <v>0</v>
      </c>
      <c r="I234" s="20">
        <f t="shared" si="43"/>
        <v>0</v>
      </c>
      <c r="J234" s="94">
        <f t="shared" si="44"/>
        <v>0</v>
      </c>
      <c r="K234" s="20">
        <f t="shared" si="45"/>
        <v>0</v>
      </c>
      <c r="L234" s="94">
        <f t="shared" si="46"/>
        <v>0</v>
      </c>
      <c r="M234" s="78">
        <f t="shared" si="47"/>
        <v>0</v>
      </c>
      <c r="N234" s="79">
        <f t="shared" si="48"/>
        <v>0</v>
      </c>
      <c r="O234" s="94">
        <f t="shared" si="49"/>
        <v>0</v>
      </c>
      <c r="P234" s="106">
        <f t="shared" si="50"/>
        <v>0</v>
      </c>
      <c r="Q234" s="94">
        <f t="shared" si="39"/>
        <v>0</v>
      </c>
      <c r="R234" s="78">
        <f t="shared" si="40"/>
        <v>0</v>
      </c>
      <c r="S234" s="84">
        <f t="shared" si="41"/>
        <v>0</v>
      </c>
      <c r="T234"/>
      <c r="U234"/>
      <c r="V234"/>
    </row>
    <row r="235" spans="1:22" s="16" customFormat="1" ht="15" customHeight="1" outlineLevel="1" x14ac:dyDescent="0.45">
      <c r="A235"/>
      <c r="B235" s="75"/>
      <c r="C235" s="78"/>
      <c r="D235" s="105"/>
      <c r="E235" s="106"/>
      <c r="F235" s="71"/>
      <c r="G235" s="78">
        <f t="shared" si="51"/>
        <v>0</v>
      </c>
      <c r="H235" s="3">
        <f t="shared" si="42"/>
        <v>0</v>
      </c>
      <c r="I235" s="20">
        <f t="shared" si="43"/>
        <v>0</v>
      </c>
      <c r="J235" s="94">
        <f t="shared" si="44"/>
        <v>0</v>
      </c>
      <c r="K235" s="20">
        <f t="shared" si="45"/>
        <v>0</v>
      </c>
      <c r="L235" s="94">
        <f t="shared" si="46"/>
        <v>0</v>
      </c>
      <c r="M235" s="78">
        <f t="shared" si="47"/>
        <v>0</v>
      </c>
      <c r="N235" s="79">
        <f t="shared" si="48"/>
        <v>0</v>
      </c>
      <c r="O235" s="94">
        <f t="shared" si="49"/>
        <v>0</v>
      </c>
      <c r="P235" s="106">
        <f t="shared" si="50"/>
        <v>0</v>
      </c>
      <c r="Q235" s="94">
        <f t="shared" si="39"/>
        <v>0</v>
      </c>
      <c r="R235" s="78">
        <f t="shared" si="40"/>
        <v>0</v>
      </c>
      <c r="S235" s="84">
        <f t="shared" si="41"/>
        <v>0</v>
      </c>
      <c r="T235"/>
      <c r="U235"/>
      <c r="V235"/>
    </row>
    <row r="236" spans="1:22" s="16" customFormat="1" ht="15" customHeight="1" outlineLevel="1" x14ac:dyDescent="0.45">
      <c r="A236"/>
      <c r="B236" s="75"/>
      <c r="C236" s="78"/>
      <c r="D236" s="105"/>
      <c r="E236" s="106"/>
      <c r="F236" s="71"/>
      <c r="G236" s="78">
        <f t="shared" si="51"/>
        <v>0</v>
      </c>
      <c r="H236" s="3">
        <f t="shared" si="42"/>
        <v>0</v>
      </c>
      <c r="I236" s="20">
        <f t="shared" si="43"/>
        <v>0</v>
      </c>
      <c r="J236" s="94">
        <f t="shared" si="44"/>
        <v>0</v>
      </c>
      <c r="K236" s="20">
        <f t="shared" si="45"/>
        <v>0</v>
      </c>
      <c r="L236" s="94">
        <f t="shared" si="46"/>
        <v>0</v>
      </c>
      <c r="M236" s="78">
        <f t="shared" si="47"/>
        <v>0</v>
      </c>
      <c r="N236" s="79">
        <f t="shared" si="48"/>
        <v>0</v>
      </c>
      <c r="O236" s="94">
        <f t="shared" si="49"/>
        <v>0</v>
      </c>
      <c r="P236" s="106">
        <f t="shared" si="50"/>
        <v>0</v>
      </c>
      <c r="Q236" s="94">
        <f t="shared" si="39"/>
        <v>0</v>
      </c>
      <c r="R236" s="78">
        <f t="shared" si="40"/>
        <v>0</v>
      </c>
      <c r="S236" s="84">
        <f t="shared" si="41"/>
        <v>0</v>
      </c>
      <c r="T236"/>
      <c r="U236"/>
      <c r="V236"/>
    </row>
    <row r="237" spans="1:22" s="16" customFormat="1" ht="15" customHeight="1" outlineLevel="1" x14ac:dyDescent="0.45">
      <c r="A237"/>
      <c r="B237" s="75"/>
      <c r="C237" s="78"/>
      <c r="D237" s="105"/>
      <c r="E237" s="106"/>
      <c r="F237" s="71"/>
      <c r="G237" s="78">
        <f t="shared" si="51"/>
        <v>0</v>
      </c>
      <c r="H237" s="3">
        <f t="shared" si="42"/>
        <v>0</v>
      </c>
      <c r="I237" s="20">
        <f t="shared" si="43"/>
        <v>0</v>
      </c>
      <c r="J237" s="94">
        <f t="shared" si="44"/>
        <v>0</v>
      </c>
      <c r="K237" s="20">
        <f t="shared" si="45"/>
        <v>0</v>
      </c>
      <c r="L237" s="94">
        <f t="shared" si="46"/>
        <v>0</v>
      </c>
      <c r="M237" s="78">
        <f t="shared" si="47"/>
        <v>0</v>
      </c>
      <c r="N237" s="79">
        <f t="shared" si="48"/>
        <v>0</v>
      </c>
      <c r="O237" s="94">
        <f t="shared" si="49"/>
        <v>0</v>
      </c>
      <c r="P237" s="106">
        <f t="shared" si="50"/>
        <v>0</v>
      </c>
      <c r="Q237" s="94">
        <f t="shared" si="39"/>
        <v>0</v>
      </c>
      <c r="R237" s="78">
        <f t="shared" si="40"/>
        <v>0</v>
      </c>
      <c r="S237" s="84">
        <f t="shared" si="41"/>
        <v>0</v>
      </c>
      <c r="T237"/>
      <c r="U237"/>
      <c r="V237"/>
    </row>
    <row r="238" spans="1:22" s="16" customFormat="1" ht="15" customHeight="1" outlineLevel="1" x14ac:dyDescent="0.45">
      <c r="A238"/>
      <c r="B238" s="75"/>
      <c r="C238" s="78"/>
      <c r="D238" s="105"/>
      <c r="E238" s="106"/>
      <c r="F238" s="71"/>
      <c r="G238" s="78">
        <f t="shared" si="51"/>
        <v>0</v>
      </c>
      <c r="H238" s="3">
        <f t="shared" si="42"/>
        <v>0</v>
      </c>
      <c r="I238" s="20">
        <f t="shared" si="43"/>
        <v>0</v>
      </c>
      <c r="J238" s="94">
        <f t="shared" si="44"/>
        <v>0</v>
      </c>
      <c r="K238" s="20">
        <f t="shared" si="45"/>
        <v>0</v>
      </c>
      <c r="L238" s="94">
        <f t="shared" si="46"/>
        <v>0</v>
      </c>
      <c r="M238" s="78">
        <f t="shared" si="47"/>
        <v>0</v>
      </c>
      <c r="N238" s="79">
        <f t="shared" si="48"/>
        <v>0</v>
      </c>
      <c r="O238" s="94">
        <f t="shared" si="49"/>
        <v>0</v>
      </c>
      <c r="P238" s="106">
        <f t="shared" si="50"/>
        <v>0</v>
      </c>
      <c r="Q238" s="94">
        <f t="shared" si="39"/>
        <v>0</v>
      </c>
      <c r="R238" s="78">
        <f t="shared" si="40"/>
        <v>0</v>
      </c>
      <c r="S238" s="84">
        <f t="shared" si="41"/>
        <v>0</v>
      </c>
      <c r="T238"/>
      <c r="U238"/>
      <c r="V238"/>
    </row>
    <row r="239" spans="1:22" s="16" customFormat="1" ht="15" customHeight="1" outlineLevel="1" x14ac:dyDescent="0.45">
      <c r="A239"/>
      <c r="B239" s="75"/>
      <c r="C239" s="78"/>
      <c r="D239" s="105"/>
      <c r="E239" s="106"/>
      <c r="F239" s="71"/>
      <c r="G239" s="78">
        <f t="shared" si="51"/>
        <v>0</v>
      </c>
      <c r="H239" s="3">
        <f t="shared" si="42"/>
        <v>0</v>
      </c>
      <c r="I239" s="20">
        <f t="shared" si="43"/>
        <v>0</v>
      </c>
      <c r="J239" s="94">
        <f t="shared" si="44"/>
        <v>0</v>
      </c>
      <c r="K239" s="20">
        <f t="shared" si="45"/>
        <v>0</v>
      </c>
      <c r="L239" s="94">
        <f t="shared" si="46"/>
        <v>0</v>
      </c>
      <c r="M239" s="78">
        <f t="shared" si="47"/>
        <v>0</v>
      </c>
      <c r="N239" s="79">
        <f t="shared" si="48"/>
        <v>0</v>
      </c>
      <c r="O239" s="94">
        <f t="shared" si="49"/>
        <v>0</v>
      </c>
      <c r="P239" s="106">
        <f t="shared" si="50"/>
        <v>0</v>
      </c>
      <c r="Q239" s="94">
        <f t="shared" si="39"/>
        <v>0</v>
      </c>
      <c r="R239" s="78">
        <f t="shared" si="40"/>
        <v>0</v>
      </c>
      <c r="S239" s="84">
        <f t="shared" si="41"/>
        <v>0</v>
      </c>
      <c r="T239"/>
      <c r="U239"/>
      <c r="V239"/>
    </row>
    <row r="240" spans="1:22" s="16" customFormat="1" ht="15" customHeight="1" outlineLevel="1" x14ac:dyDescent="0.45">
      <c r="A240"/>
      <c r="B240" s="75"/>
      <c r="C240" s="78"/>
      <c r="D240" s="105"/>
      <c r="E240" s="106"/>
      <c r="F240" s="71"/>
      <c r="G240" s="78">
        <f t="shared" si="51"/>
        <v>0</v>
      </c>
      <c r="H240" s="3">
        <f t="shared" si="42"/>
        <v>0</v>
      </c>
      <c r="I240" s="20">
        <f t="shared" si="43"/>
        <v>0</v>
      </c>
      <c r="J240" s="94">
        <f t="shared" si="44"/>
        <v>0</v>
      </c>
      <c r="K240" s="20">
        <f t="shared" si="45"/>
        <v>0</v>
      </c>
      <c r="L240" s="94">
        <f t="shared" si="46"/>
        <v>0</v>
      </c>
      <c r="M240" s="78">
        <f t="shared" si="47"/>
        <v>0</v>
      </c>
      <c r="N240" s="79">
        <f t="shared" si="48"/>
        <v>0</v>
      </c>
      <c r="O240" s="94">
        <f t="shared" si="49"/>
        <v>0</v>
      </c>
      <c r="P240" s="106">
        <f t="shared" si="50"/>
        <v>0</v>
      </c>
      <c r="Q240" s="94">
        <f t="shared" si="39"/>
        <v>0</v>
      </c>
      <c r="R240" s="78">
        <f t="shared" si="40"/>
        <v>0</v>
      </c>
      <c r="S240" s="84">
        <f t="shared" si="41"/>
        <v>0</v>
      </c>
      <c r="T240"/>
      <c r="U240"/>
      <c r="V240"/>
    </row>
    <row r="241" spans="1:22" s="16" customFormat="1" ht="15" customHeight="1" outlineLevel="1" x14ac:dyDescent="0.45">
      <c r="A241"/>
      <c r="B241" s="75"/>
      <c r="C241" s="78"/>
      <c r="D241" s="105"/>
      <c r="E241" s="106"/>
      <c r="F241" s="71"/>
      <c r="G241" s="78">
        <f t="shared" si="51"/>
        <v>0</v>
      </c>
      <c r="H241" s="3">
        <f t="shared" si="42"/>
        <v>0</v>
      </c>
      <c r="I241" s="20">
        <f t="shared" si="43"/>
        <v>0</v>
      </c>
      <c r="J241" s="94">
        <f t="shared" si="44"/>
        <v>0</v>
      </c>
      <c r="K241" s="20">
        <f t="shared" si="45"/>
        <v>0</v>
      </c>
      <c r="L241" s="94">
        <f t="shared" si="46"/>
        <v>0</v>
      </c>
      <c r="M241" s="78">
        <f t="shared" si="47"/>
        <v>0</v>
      </c>
      <c r="N241" s="79">
        <f t="shared" si="48"/>
        <v>0</v>
      </c>
      <c r="O241" s="94">
        <f t="shared" si="49"/>
        <v>0</v>
      </c>
      <c r="P241" s="106">
        <f t="shared" si="50"/>
        <v>0</v>
      </c>
      <c r="Q241" s="94">
        <f t="shared" si="39"/>
        <v>0</v>
      </c>
      <c r="R241" s="78">
        <f t="shared" si="40"/>
        <v>0</v>
      </c>
      <c r="S241" s="84">
        <f t="shared" si="41"/>
        <v>0</v>
      </c>
      <c r="T241"/>
      <c r="U241"/>
      <c r="V241"/>
    </row>
    <row r="242" spans="1:22" s="16" customFormat="1" ht="15" customHeight="1" outlineLevel="1" x14ac:dyDescent="0.45">
      <c r="A242"/>
      <c r="B242" s="75"/>
      <c r="C242" s="78"/>
      <c r="D242" s="105"/>
      <c r="E242" s="106"/>
      <c r="F242" s="71"/>
      <c r="G242" s="78">
        <f t="shared" si="51"/>
        <v>0</v>
      </c>
      <c r="H242" s="3">
        <f t="shared" si="42"/>
        <v>0</v>
      </c>
      <c r="I242" s="20">
        <f t="shared" si="43"/>
        <v>0</v>
      </c>
      <c r="J242" s="94">
        <f t="shared" si="44"/>
        <v>0</v>
      </c>
      <c r="K242" s="20">
        <f t="shared" si="45"/>
        <v>0</v>
      </c>
      <c r="L242" s="94">
        <f t="shared" si="46"/>
        <v>0</v>
      </c>
      <c r="M242" s="78">
        <f t="shared" si="47"/>
        <v>0</v>
      </c>
      <c r="N242" s="79">
        <f t="shared" si="48"/>
        <v>0</v>
      </c>
      <c r="O242" s="94">
        <f t="shared" si="49"/>
        <v>0</v>
      </c>
      <c r="P242" s="106">
        <f t="shared" si="50"/>
        <v>0</v>
      </c>
      <c r="Q242" s="94">
        <f t="shared" si="39"/>
        <v>0</v>
      </c>
      <c r="R242" s="78">
        <f t="shared" si="40"/>
        <v>0</v>
      </c>
      <c r="S242" s="84">
        <f t="shared" si="41"/>
        <v>0</v>
      </c>
      <c r="T242"/>
      <c r="U242"/>
      <c r="V242"/>
    </row>
    <row r="243" spans="1:22" s="16" customFormat="1" ht="15" customHeight="1" outlineLevel="1" x14ac:dyDescent="0.45">
      <c r="A243"/>
      <c r="B243" s="75"/>
      <c r="C243" s="78"/>
      <c r="D243" s="105"/>
      <c r="E243" s="106"/>
      <c r="F243" s="71"/>
      <c r="G243" s="78">
        <f t="shared" si="51"/>
        <v>0</v>
      </c>
      <c r="H243" s="3">
        <f t="shared" si="42"/>
        <v>0</v>
      </c>
      <c r="I243" s="20">
        <f t="shared" si="43"/>
        <v>0</v>
      </c>
      <c r="J243" s="94">
        <f t="shared" si="44"/>
        <v>0</v>
      </c>
      <c r="K243" s="20">
        <f t="shared" si="45"/>
        <v>0</v>
      </c>
      <c r="L243" s="94">
        <f t="shared" si="46"/>
        <v>0</v>
      </c>
      <c r="M243" s="78">
        <f t="shared" si="47"/>
        <v>0</v>
      </c>
      <c r="N243" s="79">
        <f t="shared" si="48"/>
        <v>0</v>
      </c>
      <c r="O243" s="94">
        <f t="shared" si="49"/>
        <v>0</v>
      </c>
      <c r="P243" s="106">
        <f t="shared" si="50"/>
        <v>0</v>
      </c>
      <c r="Q243" s="94">
        <f t="shared" si="39"/>
        <v>0</v>
      </c>
      <c r="R243" s="78">
        <f t="shared" si="40"/>
        <v>0</v>
      </c>
      <c r="S243" s="84">
        <f t="shared" si="41"/>
        <v>0</v>
      </c>
      <c r="T243"/>
      <c r="U243"/>
      <c r="V243"/>
    </row>
    <row r="244" spans="1:22" s="16" customFormat="1" ht="15" customHeight="1" outlineLevel="1" x14ac:dyDescent="0.45">
      <c r="A244"/>
      <c r="B244" s="75"/>
      <c r="C244" s="78"/>
      <c r="D244" s="105"/>
      <c r="E244" s="106"/>
      <c r="F244" s="71"/>
      <c r="G244" s="78">
        <f t="shared" si="51"/>
        <v>0</v>
      </c>
      <c r="H244" s="3">
        <f t="shared" si="42"/>
        <v>0</v>
      </c>
      <c r="I244" s="20">
        <f t="shared" si="43"/>
        <v>0</v>
      </c>
      <c r="J244" s="94">
        <f t="shared" si="44"/>
        <v>0</v>
      </c>
      <c r="K244" s="20">
        <f t="shared" si="45"/>
        <v>0</v>
      </c>
      <c r="L244" s="94">
        <f t="shared" si="46"/>
        <v>0</v>
      </c>
      <c r="M244" s="78">
        <f t="shared" si="47"/>
        <v>0</v>
      </c>
      <c r="N244" s="79">
        <f t="shared" si="48"/>
        <v>0</v>
      </c>
      <c r="O244" s="94">
        <f t="shared" si="49"/>
        <v>0</v>
      </c>
      <c r="P244" s="106">
        <f t="shared" si="50"/>
        <v>0</v>
      </c>
      <c r="Q244" s="94">
        <f t="shared" si="39"/>
        <v>0</v>
      </c>
      <c r="R244" s="78">
        <f t="shared" si="40"/>
        <v>0</v>
      </c>
      <c r="S244" s="84">
        <f t="shared" si="41"/>
        <v>0</v>
      </c>
      <c r="T244"/>
      <c r="U244"/>
      <c r="V244"/>
    </row>
    <row r="245" spans="1:22" s="16" customFormat="1" ht="15" customHeight="1" outlineLevel="1" x14ac:dyDescent="0.45">
      <c r="A245"/>
      <c r="B245" s="75"/>
      <c r="C245" s="78"/>
      <c r="D245" s="105"/>
      <c r="E245" s="106"/>
      <c r="F245" s="71"/>
      <c r="G245" s="78">
        <f t="shared" si="51"/>
        <v>0</v>
      </c>
      <c r="H245" s="3">
        <f t="shared" si="42"/>
        <v>0</v>
      </c>
      <c r="I245" s="20">
        <f t="shared" si="43"/>
        <v>0</v>
      </c>
      <c r="J245" s="94">
        <f t="shared" si="44"/>
        <v>0</v>
      </c>
      <c r="K245" s="20">
        <f t="shared" si="45"/>
        <v>0</v>
      </c>
      <c r="L245" s="94">
        <f t="shared" si="46"/>
        <v>0</v>
      </c>
      <c r="M245" s="78">
        <f t="shared" si="47"/>
        <v>0</v>
      </c>
      <c r="N245" s="79">
        <f t="shared" si="48"/>
        <v>0</v>
      </c>
      <c r="O245" s="94">
        <f t="shared" si="49"/>
        <v>0</v>
      </c>
      <c r="P245" s="106">
        <f t="shared" si="50"/>
        <v>0</v>
      </c>
      <c r="Q245" s="94">
        <f t="shared" si="39"/>
        <v>0</v>
      </c>
      <c r="R245" s="78">
        <f t="shared" si="40"/>
        <v>0</v>
      </c>
      <c r="S245" s="84">
        <f t="shared" si="41"/>
        <v>0</v>
      </c>
      <c r="T245"/>
      <c r="U245"/>
      <c r="V245"/>
    </row>
    <row r="246" spans="1:22" s="16" customFormat="1" ht="15" customHeight="1" outlineLevel="1" x14ac:dyDescent="0.45">
      <c r="A246"/>
      <c r="B246" s="75"/>
      <c r="C246" s="78"/>
      <c r="D246" s="105"/>
      <c r="E246" s="106"/>
      <c r="F246" s="71"/>
      <c r="G246" s="78">
        <f t="shared" si="51"/>
        <v>0</v>
      </c>
      <c r="H246" s="3">
        <f t="shared" si="42"/>
        <v>0</v>
      </c>
      <c r="I246" s="20">
        <f t="shared" si="43"/>
        <v>0</v>
      </c>
      <c r="J246" s="94">
        <f t="shared" si="44"/>
        <v>0</v>
      </c>
      <c r="K246" s="20">
        <f t="shared" si="45"/>
        <v>0</v>
      </c>
      <c r="L246" s="94">
        <f t="shared" si="46"/>
        <v>0</v>
      </c>
      <c r="M246" s="78">
        <f t="shared" si="47"/>
        <v>0</v>
      </c>
      <c r="N246" s="79">
        <f t="shared" si="48"/>
        <v>0</v>
      </c>
      <c r="O246" s="94">
        <f t="shared" si="49"/>
        <v>0</v>
      </c>
      <c r="P246" s="106">
        <f t="shared" si="50"/>
        <v>0</v>
      </c>
      <c r="Q246" s="94">
        <f t="shared" si="39"/>
        <v>0</v>
      </c>
      <c r="R246" s="78">
        <f t="shared" si="40"/>
        <v>0</v>
      </c>
      <c r="S246" s="84">
        <f t="shared" si="41"/>
        <v>0</v>
      </c>
      <c r="T246"/>
      <c r="U246"/>
      <c r="V246"/>
    </row>
    <row r="247" spans="1:22" s="16" customFormat="1" ht="15" customHeight="1" outlineLevel="1" x14ac:dyDescent="0.45">
      <c r="A247"/>
      <c r="B247" s="75"/>
      <c r="C247" s="78"/>
      <c r="D247" s="105"/>
      <c r="E247" s="106"/>
      <c r="F247" s="71"/>
      <c r="G247" s="78">
        <f t="shared" si="51"/>
        <v>0</v>
      </c>
      <c r="H247" s="3">
        <f t="shared" si="42"/>
        <v>0</v>
      </c>
      <c r="I247" s="20">
        <f t="shared" si="43"/>
        <v>0</v>
      </c>
      <c r="J247" s="94">
        <f t="shared" si="44"/>
        <v>0</v>
      </c>
      <c r="K247" s="20">
        <f t="shared" si="45"/>
        <v>0</v>
      </c>
      <c r="L247" s="94">
        <f t="shared" si="46"/>
        <v>0</v>
      </c>
      <c r="M247" s="78">
        <f t="shared" si="47"/>
        <v>0</v>
      </c>
      <c r="N247" s="79">
        <f t="shared" si="48"/>
        <v>0</v>
      </c>
      <c r="O247" s="94">
        <f t="shared" si="49"/>
        <v>0</v>
      </c>
      <c r="P247" s="106">
        <f t="shared" si="50"/>
        <v>0</v>
      </c>
      <c r="Q247" s="94">
        <f t="shared" si="39"/>
        <v>0</v>
      </c>
      <c r="R247" s="78">
        <f t="shared" si="40"/>
        <v>0</v>
      </c>
      <c r="S247" s="84">
        <f t="shared" si="41"/>
        <v>0</v>
      </c>
      <c r="T247"/>
      <c r="U247"/>
      <c r="V247"/>
    </row>
    <row r="248" spans="1:22" s="16" customFormat="1" ht="15" customHeight="1" outlineLevel="1" x14ac:dyDescent="0.45">
      <c r="A248"/>
      <c r="B248" s="75"/>
      <c r="C248" s="78"/>
      <c r="D248" s="105"/>
      <c r="E248" s="106"/>
      <c r="F248" s="71"/>
      <c r="G248" s="78">
        <f t="shared" si="51"/>
        <v>0</v>
      </c>
      <c r="H248" s="3">
        <f t="shared" si="42"/>
        <v>0</v>
      </c>
      <c r="I248" s="20">
        <f t="shared" si="43"/>
        <v>0</v>
      </c>
      <c r="J248" s="94">
        <f t="shared" si="44"/>
        <v>0</v>
      </c>
      <c r="K248" s="20">
        <f t="shared" si="45"/>
        <v>0</v>
      </c>
      <c r="L248" s="94">
        <f t="shared" si="46"/>
        <v>0</v>
      </c>
      <c r="M248" s="78">
        <f t="shared" si="47"/>
        <v>0</v>
      </c>
      <c r="N248" s="79">
        <f t="shared" si="48"/>
        <v>0</v>
      </c>
      <c r="O248" s="94">
        <f t="shared" si="49"/>
        <v>0</v>
      </c>
      <c r="P248" s="106">
        <f t="shared" si="50"/>
        <v>0</v>
      </c>
      <c r="Q248" s="94">
        <f t="shared" si="39"/>
        <v>0</v>
      </c>
      <c r="R248" s="78">
        <f t="shared" si="40"/>
        <v>0</v>
      </c>
      <c r="S248" s="84">
        <f t="shared" si="41"/>
        <v>0</v>
      </c>
      <c r="T248"/>
      <c r="U248"/>
      <c r="V248"/>
    </row>
    <row r="249" spans="1:22" s="16" customFormat="1" ht="15" customHeight="1" outlineLevel="1" x14ac:dyDescent="0.45">
      <c r="A249"/>
      <c r="B249" s="75"/>
      <c r="C249" s="78"/>
      <c r="D249" s="105"/>
      <c r="E249" s="106"/>
      <c r="F249" s="71"/>
      <c r="G249" s="78">
        <f t="shared" si="51"/>
        <v>0</v>
      </c>
      <c r="H249" s="3">
        <f t="shared" si="42"/>
        <v>0</v>
      </c>
      <c r="I249" s="20">
        <f t="shared" si="43"/>
        <v>0</v>
      </c>
      <c r="J249" s="94">
        <f t="shared" si="44"/>
        <v>0</v>
      </c>
      <c r="K249" s="20">
        <f t="shared" si="45"/>
        <v>0</v>
      </c>
      <c r="L249" s="94">
        <f t="shared" si="46"/>
        <v>0</v>
      </c>
      <c r="M249" s="78">
        <f t="shared" si="47"/>
        <v>0</v>
      </c>
      <c r="N249" s="79">
        <f t="shared" si="48"/>
        <v>0</v>
      </c>
      <c r="O249" s="94">
        <f t="shared" si="49"/>
        <v>0</v>
      </c>
      <c r="P249" s="106">
        <f t="shared" si="50"/>
        <v>0</v>
      </c>
      <c r="Q249" s="94">
        <f t="shared" si="39"/>
        <v>0</v>
      </c>
      <c r="R249" s="78">
        <f t="shared" si="40"/>
        <v>0</v>
      </c>
      <c r="S249" s="84">
        <f t="shared" si="41"/>
        <v>0</v>
      </c>
      <c r="T249"/>
      <c r="U249"/>
      <c r="V249"/>
    </row>
    <row r="250" spans="1:22" s="16" customFormat="1" ht="15" customHeight="1" outlineLevel="1" x14ac:dyDescent="0.45">
      <c r="A250"/>
      <c r="B250" s="75"/>
      <c r="C250" s="78"/>
      <c r="D250" s="105"/>
      <c r="E250" s="106"/>
      <c r="F250" s="71"/>
      <c r="G250" s="78">
        <f t="shared" si="51"/>
        <v>0</v>
      </c>
      <c r="H250" s="3">
        <f t="shared" si="42"/>
        <v>0</v>
      </c>
      <c r="I250" s="20">
        <f t="shared" si="43"/>
        <v>0</v>
      </c>
      <c r="J250" s="94">
        <f t="shared" si="44"/>
        <v>0</v>
      </c>
      <c r="K250" s="20">
        <f t="shared" si="45"/>
        <v>0</v>
      </c>
      <c r="L250" s="94">
        <f t="shared" si="46"/>
        <v>0</v>
      </c>
      <c r="M250" s="78">
        <f t="shared" si="47"/>
        <v>0</v>
      </c>
      <c r="N250" s="79">
        <f t="shared" si="48"/>
        <v>0</v>
      </c>
      <c r="O250" s="94">
        <f t="shared" si="49"/>
        <v>0</v>
      </c>
      <c r="P250" s="106">
        <f t="shared" si="50"/>
        <v>0</v>
      </c>
      <c r="Q250" s="94">
        <f t="shared" si="39"/>
        <v>0</v>
      </c>
      <c r="R250" s="78">
        <f t="shared" si="40"/>
        <v>0</v>
      </c>
      <c r="S250" s="84">
        <f t="shared" si="41"/>
        <v>0</v>
      </c>
      <c r="T250"/>
      <c r="U250"/>
      <c r="V250"/>
    </row>
    <row r="251" spans="1:22" s="16" customFormat="1" ht="15" customHeight="1" outlineLevel="1" x14ac:dyDescent="0.45">
      <c r="A251"/>
      <c r="B251" s="75"/>
      <c r="C251" s="78"/>
      <c r="D251" s="105"/>
      <c r="E251" s="106"/>
      <c r="F251" s="71"/>
      <c r="G251" s="78">
        <f t="shared" si="51"/>
        <v>0</v>
      </c>
      <c r="H251" s="3">
        <f t="shared" si="42"/>
        <v>0</v>
      </c>
      <c r="I251" s="20">
        <f t="shared" si="43"/>
        <v>0</v>
      </c>
      <c r="J251" s="94">
        <f t="shared" si="44"/>
        <v>0</v>
      </c>
      <c r="K251" s="20">
        <f t="shared" si="45"/>
        <v>0</v>
      </c>
      <c r="L251" s="94">
        <f t="shared" si="46"/>
        <v>0</v>
      </c>
      <c r="M251" s="78">
        <f t="shared" si="47"/>
        <v>0</v>
      </c>
      <c r="N251" s="79">
        <f t="shared" si="48"/>
        <v>0</v>
      </c>
      <c r="O251" s="94">
        <f t="shared" si="49"/>
        <v>0</v>
      </c>
      <c r="P251" s="106">
        <f t="shared" si="50"/>
        <v>0</v>
      </c>
      <c r="Q251" s="94">
        <f t="shared" si="39"/>
        <v>0</v>
      </c>
      <c r="R251" s="78">
        <f t="shared" si="40"/>
        <v>0</v>
      </c>
      <c r="S251" s="84">
        <f t="shared" si="41"/>
        <v>0</v>
      </c>
      <c r="T251"/>
      <c r="U251"/>
      <c r="V251"/>
    </row>
    <row r="252" spans="1:22" s="16" customFormat="1" ht="15" customHeight="1" outlineLevel="1" x14ac:dyDescent="0.45">
      <c r="A252"/>
      <c r="B252" s="75"/>
      <c r="C252" s="78"/>
      <c r="D252" s="105"/>
      <c r="E252" s="106"/>
      <c r="F252" s="71"/>
      <c r="G252" s="78">
        <f t="shared" si="51"/>
        <v>0</v>
      </c>
      <c r="H252" s="3">
        <f t="shared" si="42"/>
        <v>0</v>
      </c>
      <c r="I252" s="20">
        <f t="shared" si="43"/>
        <v>0</v>
      </c>
      <c r="J252" s="94">
        <f t="shared" si="44"/>
        <v>0</v>
      </c>
      <c r="K252" s="20">
        <f t="shared" si="45"/>
        <v>0</v>
      </c>
      <c r="L252" s="94">
        <f t="shared" si="46"/>
        <v>0</v>
      </c>
      <c r="M252" s="78">
        <f t="shared" si="47"/>
        <v>0</v>
      </c>
      <c r="N252" s="79">
        <f t="shared" si="48"/>
        <v>0</v>
      </c>
      <c r="O252" s="94">
        <f t="shared" si="49"/>
        <v>0</v>
      </c>
      <c r="P252" s="106">
        <f t="shared" si="50"/>
        <v>0</v>
      </c>
      <c r="Q252" s="94">
        <f t="shared" si="39"/>
        <v>0</v>
      </c>
      <c r="R252" s="78">
        <f t="shared" si="40"/>
        <v>0</v>
      </c>
      <c r="S252" s="84">
        <f t="shared" si="41"/>
        <v>0</v>
      </c>
      <c r="T252"/>
      <c r="U252"/>
      <c r="V252"/>
    </row>
    <row r="253" spans="1:22" s="16" customFormat="1" ht="15" customHeight="1" outlineLevel="1" x14ac:dyDescent="0.45">
      <c r="A253"/>
      <c r="B253" s="75"/>
      <c r="C253" s="78"/>
      <c r="D253" s="105"/>
      <c r="E253" s="106"/>
      <c r="F253" s="71"/>
      <c r="G253" s="78">
        <f t="shared" si="51"/>
        <v>0</v>
      </c>
      <c r="H253" s="3">
        <f t="shared" si="42"/>
        <v>0</v>
      </c>
      <c r="I253" s="20">
        <f t="shared" si="43"/>
        <v>0</v>
      </c>
      <c r="J253" s="94">
        <f t="shared" si="44"/>
        <v>0</v>
      </c>
      <c r="K253" s="20">
        <f t="shared" si="45"/>
        <v>0</v>
      </c>
      <c r="L253" s="94">
        <f t="shared" si="46"/>
        <v>0</v>
      </c>
      <c r="M253" s="78">
        <f t="shared" si="47"/>
        <v>0</v>
      </c>
      <c r="N253" s="79">
        <f t="shared" si="48"/>
        <v>0</v>
      </c>
      <c r="O253" s="94">
        <f t="shared" si="49"/>
        <v>0</v>
      </c>
      <c r="P253" s="106">
        <f t="shared" si="50"/>
        <v>0</v>
      </c>
      <c r="Q253" s="94">
        <f t="shared" si="39"/>
        <v>0</v>
      </c>
      <c r="R253" s="78">
        <f t="shared" si="40"/>
        <v>0</v>
      </c>
      <c r="S253" s="84">
        <f t="shared" si="41"/>
        <v>0</v>
      </c>
      <c r="T253"/>
      <c r="U253"/>
      <c r="V253"/>
    </row>
    <row r="254" spans="1:22" s="16" customFormat="1" ht="15" customHeight="1" outlineLevel="1" x14ac:dyDescent="0.45">
      <c r="A254"/>
      <c r="B254" s="75"/>
      <c r="C254" s="78"/>
      <c r="D254" s="105"/>
      <c r="E254" s="106"/>
      <c r="F254" s="71"/>
      <c r="G254" s="78">
        <f t="shared" si="51"/>
        <v>0</v>
      </c>
      <c r="H254" s="3">
        <f t="shared" si="42"/>
        <v>0</v>
      </c>
      <c r="I254" s="20">
        <f t="shared" si="43"/>
        <v>0</v>
      </c>
      <c r="J254" s="94">
        <f t="shared" si="44"/>
        <v>0</v>
      </c>
      <c r="K254" s="20">
        <f t="shared" si="45"/>
        <v>0</v>
      </c>
      <c r="L254" s="94">
        <f t="shared" si="46"/>
        <v>0</v>
      </c>
      <c r="M254" s="78">
        <f t="shared" si="47"/>
        <v>0</v>
      </c>
      <c r="N254" s="79">
        <f t="shared" si="48"/>
        <v>0</v>
      </c>
      <c r="O254" s="94">
        <f t="shared" si="49"/>
        <v>0</v>
      </c>
      <c r="P254" s="106">
        <f t="shared" si="50"/>
        <v>0</v>
      </c>
      <c r="Q254" s="94">
        <f t="shared" si="39"/>
        <v>0</v>
      </c>
      <c r="R254" s="78">
        <f t="shared" si="40"/>
        <v>0</v>
      </c>
      <c r="S254" s="84">
        <f t="shared" si="41"/>
        <v>0</v>
      </c>
      <c r="T254"/>
      <c r="U254"/>
      <c r="V254"/>
    </row>
    <row r="255" spans="1:22" s="16" customFormat="1" ht="15" customHeight="1" outlineLevel="1" x14ac:dyDescent="0.45">
      <c r="A255"/>
      <c r="B255" s="75"/>
      <c r="C255" s="78"/>
      <c r="D255" s="105"/>
      <c r="E255" s="106"/>
      <c r="F255" s="71"/>
      <c r="G255" s="78">
        <f t="shared" si="51"/>
        <v>0</v>
      </c>
      <c r="H255" s="3">
        <f t="shared" si="42"/>
        <v>0</v>
      </c>
      <c r="I255" s="20">
        <f t="shared" si="43"/>
        <v>0</v>
      </c>
      <c r="J255" s="94">
        <f t="shared" si="44"/>
        <v>0</v>
      </c>
      <c r="K255" s="20">
        <f t="shared" si="45"/>
        <v>0</v>
      </c>
      <c r="L255" s="94">
        <f t="shared" si="46"/>
        <v>0</v>
      </c>
      <c r="M255" s="78">
        <f t="shared" si="47"/>
        <v>0</v>
      </c>
      <c r="N255" s="79">
        <f t="shared" si="48"/>
        <v>0</v>
      </c>
      <c r="O255" s="94">
        <f t="shared" si="49"/>
        <v>0</v>
      </c>
      <c r="P255" s="106">
        <f t="shared" si="50"/>
        <v>0</v>
      </c>
      <c r="Q255" s="94">
        <f t="shared" si="39"/>
        <v>0</v>
      </c>
      <c r="R255" s="78">
        <f t="shared" si="40"/>
        <v>0</v>
      </c>
      <c r="S255" s="84">
        <f t="shared" si="41"/>
        <v>0</v>
      </c>
      <c r="T255"/>
      <c r="U255"/>
      <c r="V255"/>
    </row>
    <row r="256" spans="1:22" s="16" customFormat="1" ht="15" customHeight="1" outlineLevel="1" x14ac:dyDescent="0.45">
      <c r="A256"/>
      <c r="B256" s="75"/>
      <c r="C256" s="78"/>
      <c r="D256" s="105"/>
      <c r="E256" s="106"/>
      <c r="F256" s="71"/>
      <c r="G256" s="78">
        <f t="shared" si="51"/>
        <v>0</v>
      </c>
      <c r="H256" s="3">
        <f t="shared" si="42"/>
        <v>0</v>
      </c>
      <c r="I256" s="20">
        <f t="shared" si="43"/>
        <v>0</v>
      </c>
      <c r="J256" s="94">
        <f t="shared" si="44"/>
        <v>0</v>
      </c>
      <c r="K256" s="20">
        <f t="shared" si="45"/>
        <v>0</v>
      </c>
      <c r="L256" s="94">
        <f t="shared" si="46"/>
        <v>0</v>
      </c>
      <c r="M256" s="78">
        <f t="shared" si="47"/>
        <v>0</v>
      </c>
      <c r="N256" s="79">
        <f t="shared" si="48"/>
        <v>0</v>
      </c>
      <c r="O256" s="94">
        <f t="shared" si="49"/>
        <v>0</v>
      </c>
      <c r="P256" s="106">
        <f t="shared" si="50"/>
        <v>0</v>
      </c>
      <c r="Q256" s="94">
        <f t="shared" si="39"/>
        <v>0</v>
      </c>
      <c r="R256" s="78">
        <f t="shared" si="40"/>
        <v>0</v>
      </c>
      <c r="S256" s="84">
        <f t="shared" si="41"/>
        <v>0</v>
      </c>
      <c r="T256"/>
      <c r="U256"/>
      <c r="V256"/>
    </row>
    <row r="257" spans="1:22" s="16" customFormat="1" ht="15" customHeight="1" outlineLevel="1" x14ac:dyDescent="0.45">
      <c r="A257"/>
      <c r="B257" s="75"/>
      <c r="C257" s="78"/>
      <c r="D257" s="105"/>
      <c r="E257" s="106"/>
      <c r="F257" s="71"/>
      <c r="G257" s="78">
        <f t="shared" si="51"/>
        <v>0</v>
      </c>
      <c r="H257" s="3">
        <f t="shared" si="42"/>
        <v>0</v>
      </c>
      <c r="I257" s="20">
        <f t="shared" si="43"/>
        <v>0</v>
      </c>
      <c r="J257" s="94">
        <f t="shared" si="44"/>
        <v>0</v>
      </c>
      <c r="K257" s="20">
        <f t="shared" si="45"/>
        <v>0</v>
      </c>
      <c r="L257" s="94">
        <f t="shared" si="46"/>
        <v>0</v>
      </c>
      <c r="M257" s="78">
        <f t="shared" si="47"/>
        <v>0</v>
      </c>
      <c r="N257" s="79">
        <f t="shared" si="48"/>
        <v>0</v>
      </c>
      <c r="O257" s="94">
        <f t="shared" si="49"/>
        <v>0</v>
      </c>
      <c r="P257" s="106">
        <f t="shared" si="50"/>
        <v>0</v>
      </c>
      <c r="Q257" s="94">
        <f t="shared" si="39"/>
        <v>0</v>
      </c>
      <c r="R257" s="78">
        <f t="shared" si="40"/>
        <v>0</v>
      </c>
      <c r="S257" s="84">
        <f t="shared" si="41"/>
        <v>0</v>
      </c>
      <c r="T257"/>
      <c r="U257"/>
      <c r="V257"/>
    </row>
    <row r="258" spans="1:22" s="16" customFormat="1" ht="15" customHeight="1" outlineLevel="1" x14ac:dyDescent="0.45">
      <c r="A258"/>
      <c r="B258" s="75"/>
      <c r="C258" s="78"/>
      <c r="D258" s="105"/>
      <c r="E258" s="106"/>
      <c r="F258" s="71"/>
      <c r="G258" s="78">
        <f t="shared" si="51"/>
        <v>0</v>
      </c>
      <c r="H258" s="3">
        <f t="shared" si="42"/>
        <v>0</v>
      </c>
      <c r="I258" s="20">
        <f t="shared" si="43"/>
        <v>0</v>
      </c>
      <c r="J258" s="94">
        <f t="shared" si="44"/>
        <v>0</v>
      </c>
      <c r="K258" s="20">
        <f t="shared" si="45"/>
        <v>0</v>
      </c>
      <c r="L258" s="94">
        <f t="shared" si="46"/>
        <v>0</v>
      </c>
      <c r="M258" s="78">
        <f t="shared" si="47"/>
        <v>0</v>
      </c>
      <c r="N258" s="79">
        <f t="shared" si="48"/>
        <v>0</v>
      </c>
      <c r="O258" s="94">
        <f t="shared" si="49"/>
        <v>0</v>
      </c>
      <c r="P258" s="106">
        <f t="shared" si="50"/>
        <v>0</v>
      </c>
      <c r="Q258" s="94">
        <f t="shared" si="39"/>
        <v>0</v>
      </c>
      <c r="R258" s="78">
        <f t="shared" si="40"/>
        <v>0</v>
      </c>
      <c r="S258" s="84">
        <f t="shared" si="41"/>
        <v>0</v>
      </c>
      <c r="T258"/>
      <c r="U258"/>
      <c r="V258"/>
    </row>
    <row r="259" spans="1:22" s="16" customFormat="1" ht="15" customHeight="1" outlineLevel="1" x14ac:dyDescent="0.45">
      <c r="A259"/>
      <c r="B259" s="75"/>
      <c r="C259" s="78"/>
      <c r="D259" s="105"/>
      <c r="E259" s="106"/>
      <c r="F259" s="71"/>
      <c r="G259" s="78">
        <f t="shared" si="51"/>
        <v>0</v>
      </c>
      <c r="H259" s="3">
        <f t="shared" si="42"/>
        <v>0</v>
      </c>
      <c r="I259" s="20">
        <f t="shared" si="43"/>
        <v>0</v>
      </c>
      <c r="J259" s="94">
        <f t="shared" si="44"/>
        <v>0</v>
      </c>
      <c r="K259" s="20">
        <f t="shared" si="45"/>
        <v>0</v>
      </c>
      <c r="L259" s="94">
        <f t="shared" si="46"/>
        <v>0</v>
      </c>
      <c r="M259" s="78">
        <f t="shared" si="47"/>
        <v>0</v>
      </c>
      <c r="N259" s="79">
        <f t="shared" si="48"/>
        <v>0</v>
      </c>
      <c r="O259" s="94">
        <f t="shared" si="49"/>
        <v>0</v>
      </c>
      <c r="P259" s="106">
        <f t="shared" si="50"/>
        <v>0</v>
      </c>
      <c r="Q259" s="94">
        <f t="shared" si="39"/>
        <v>0</v>
      </c>
      <c r="R259" s="78">
        <f t="shared" si="40"/>
        <v>0</v>
      </c>
      <c r="S259" s="84">
        <f t="shared" si="41"/>
        <v>0</v>
      </c>
      <c r="T259"/>
      <c r="U259"/>
      <c r="V259"/>
    </row>
    <row r="260" spans="1:22" s="16" customFormat="1" ht="15" customHeight="1" outlineLevel="1" x14ac:dyDescent="0.45">
      <c r="A260"/>
      <c r="B260" s="75"/>
      <c r="C260" s="78"/>
      <c r="D260" s="105"/>
      <c r="E260" s="106"/>
      <c r="F260" s="71"/>
      <c r="G260" s="78">
        <f t="shared" si="51"/>
        <v>0</v>
      </c>
      <c r="H260" s="3">
        <f t="shared" si="42"/>
        <v>0</v>
      </c>
      <c r="I260" s="20">
        <f t="shared" si="43"/>
        <v>0</v>
      </c>
      <c r="J260" s="94">
        <f t="shared" si="44"/>
        <v>0</v>
      </c>
      <c r="K260" s="20">
        <f t="shared" si="45"/>
        <v>0</v>
      </c>
      <c r="L260" s="94">
        <f t="shared" si="46"/>
        <v>0</v>
      </c>
      <c r="M260" s="78">
        <f t="shared" si="47"/>
        <v>0</v>
      </c>
      <c r="N260" s="79">
        <f t="shared" si="48"/>
        <v>0</v>
      </c>
      <c r="O260" s="94">
        <f t="shared" si="49"/>
        <v>0</v>
      </c>
      <c r="P260" s="106">
        <f t="shared" si="50"/>
        <v>0</v>
      </c>
      <c r="Q260" s="94">
        <f t="shared" si="39"/>
        <v>0</v>
      </c>
      <c r="R260" s="78">
        <f t="shared" si="40"/>
        <v>0</v>
      </c>
      <c r="S260" s="84">
        <f t="shared" si="41"/>
        <v>0</v>
      </c>
      <c r="T260"/>
      <c r="U260"/>
      <c r="V260"/>
    </row>
    <row r="261" spans="1:22" s="16" customFormat="1" ht="15" customHeight="1" outlineLevel="1" x14ac:dyDescent="0.45">
      <c r="A261"/>
      <c r="B261" s="75"/>
      <c r="C261" s="78"/>
      <c r="D261" s="105"/>
      <c r="E261" s="106"/>
      <c r="F261" s="71"/>
      <c r="G261" s="78">
        <f t="shared" si="51"/>
        <v>0</v>
      </c>
      <c r="H261" s="3">
        <f t="shared" si="42"/>
        <v>0</v>
      </c>
      <c r="I261" s="20">
        <f t="shared" si="43"/>
        <v>0</v>
      </c>
      <c r="J261" s="94">
        <f t="shared" si="44"/>
        <v>0</v>
      </c>
      <c r="K261" s="20">
        <f t="shared" si="45"/>
        <v>0</v>
      </c>
      <c r="L261" s="94">
        <f t="shared" si="46"/>
        <v>0</v>
      </c>
      <c r="M261" s="78">
        <f t="shared" si="47"/>
        <v>0</v>
      </c>
      <c r="N261" s="79">
        <f t="shared" si="48"/>
        <v>0</v>
      </c>
      <c r="O261" s="94">
        <f t="shared" si="49"/>
        <v>0</v>
      </c>
      <c r="P261" s="106">
        <f t="shared" si="50"/>
        <v>0</v>
      </c>
      <c r="Q261" s="94">
        <f t="shared" ref="Q261:Q324" si="52">+H261</f>
        <v>0</v>
      </c>
      <c r="R261" s="78">
        <f t="shared" ref="R261:R324" si="53">+L261</f>
        <v>0</v>
      </c>
      <c r="S261" s="84">
        <f t="shared" ref="S261:S324" si="54">+M261</f>
        <v>0</v>
      </c>
      <c r="T261"/>
      <c r="U261"/>
      <c r="V261"/>
    </row>
    <row r="262" spans="1:22" s="16" customFormat="1" ht="15" customHeight="1" outlineLevel="1" x14ac:dyDescent="0.45">
      <c r="A262"/>
      <c r="B262" s="75"/>
      <c r="C262" s="78"/>
      <c r="D262" s="105"/>
      <c r="E262" s="106"/>
      <c r="F262" s="71"/>
      <c r="G262" s="78">
        <f t="shared" si="51"/>
        <v>0</v>
      </c>
      <c r="H262" s="3">
        <f t="shared" ref="H262:H325" si="55">IF(D262&gt;0,D262,0)</f>
        <v>0</v>
      </c>
      <c r="I262" s="20">
        <f t="shared" ref="I262:I325" si="56">IF(D262="",0,-D262)</f>
        <v>0</v>
      </c>
      <c r="J262" s="94">
        <f t="shared" ref="J262:J325" si="57">IF(F262="",0,-F262)</f>
        <v>0</v>
      </c>
      <c r="K262" s="20">
        <f t="shared" ref="K262:K325" si="58">IF(AND(I262&gt;0,I262&lt;&gt;""),-I262-J262,IF(J262="",0,-J262))</f>
        <v>0</v>
      </c>
      <c r="L262" s="94">
        <f t="shared" ref="L262:L325" si="59">+C262</f>
        <v>0</v>
      </c>
      <c r="M262" s="78">
        <f t="shared" ref="M262:M325" si="60">-L262</f>
        <v>0</v>
      </c>
      <c r="N262" s="79">
        <f t="shared" ref="N262:N325" si="61">IFERROR(+D262+I262,0)</f>
        <v>0</v>
      </c>
      <c r="O262" s="94">
        <f t="shared" ref="O262:O325" si="62">IFERROR(+F262+J262,0)</f>
        <v>0</v>
      </c>
      <c r="P262" s="106">
        <f t="shared" ref="P262:P325" si="63">IFERROR(+K262+G262,0)</f>
        <v>0</v>
      </c>
      <c r="Q262" s="94">
        <f t="shared" si="52"/>
        <v>0</v>
      </c>
      <c r="R262" s="78">
        <f t="shared" si="53"/>
        <v>0</v>
      </c>
      <c r="S262" s="84">
        <f t="shared" si="54"/>
        <v>0</v>
      </c>
      <c r="T262"/>
      <c r="U262"/>
      <c r="V262"/>
    </row>
    <row r="263" spans="1:22" s="16" customFormat="1" ht="15" customHeight="1" outlineLevel="1" x14ac:dyDescent="0.45">
      <c r="A263"/>
      <c r="B263" s="75"/>
      <c r="C263" s="78"/>
      <c r="D263" s="105"/>
      <c r="E263" s="106"/>
      <c r="F263" s="71"/>
      <c r="G263" s="78">
        <f t="shared" ref="G263:G326" si="64">-SUM(-G262,C263:D263,F263)</f>
        <v>0</v>
      </c>
      <c r="H263" s="3">
        <f t="shared" si="55"/>
        <v>0</v>
      </c>
      <c r="I263" s="20">
        <f t="shared" si="56"/>
        <v>0</v>
      </c>
      <c r="J263" s="94">
        <f t="shared" si="57"/>
        <v>0</v>
      </c>
      <c r="K263" s="20">
        <f t="shared" si="58"/>
        <v>0</v>
      </c>
      <c r="L263" s="94">
        <f t="shared" si="59"/>
        <v>0</v>
      </c>
      <c r="M263" s="78">
        <f t="shared" si="60"/>
        <v>0</v>
      </c>
      <c r="N263" s="79">
        <f t="shared" si="61"/>
        <v>0</v>
      </c>
      <c r="O263" s="94">
        <f t="shared" si="62"/>
        <v>0</v>
      </c>
      <c r="P263" s="106">
        <f t="shared" si="63"/>
        <v>0</v>
      </c>
      <c r="Q263" s="94">
        <f t="shared" si="52"/>
        <v>0</v>
      </c>
      <c r="R263" s="78">
        <f t="shared" si="53"/>
        <v>0</v>
      </c>
      <c r="S263" s="84">
        <f t="shared" si="54"/>
        <v>0</v>
      </c>
      <c r="T263"/>
      <c r="U263"/>
      <c r="V263"/>
    </row>
    <row r="264" spans="1:22" s="16" customFormat="1" ht="15" customHeight="1" outlineLevel="1" x14ac:dyDescent="0.45">
      <c r="A264"/>
      <c r="B264" s="75"/>
      <c r="C264" s="78"/>
      <c r="D264" s="105"/>
      <c r="E264" s="106"/>
      <c r="F264" s="71"/>
      <c r="G264" s="78">
        <f t="shared" si="64"/>
        <v>0</v>
      </c>
      <c r="H264" s="3">
        <f t="shared" si="55"/>
        <v>0</v>
      </c>
      <c r="I264" s="20">
        <f t="shared" si="56"/>
        <v>0</v>
      </c>
      <c r="J264" s="94">
        <f t="shared" si="57"/>
        <v>0</v>
      </c>
      <c r="K264" s="20">
        <f t="shared" si="58"/>
        <v>0</v>
      </c>
      <c r="L264" s="94">
        <f t="shared" si="59"/>
        <v>0</v>
      </c>
      <c r="M264" s="78">
        <f t="shared" si="60"/>
        <v>0</v>
      </c>
      <c r="N264" s="79">
        <f t="shared" si="61"/>
        <v>0</v>
      </c>
      <c r="O264" s="94">
        <f t="shared" si="62"/>
        <v>0</v>
      </c>
      <c r="P264" s="106">
        <f t="shared" si="63"/>
        <v>0</v>
      </c>
      <c r="Q264" s="94">
        <f t="shared" si="52"/>
        <v>0</v>
      </c>
      <c r="R264" s="78">
        <f t="shared" si="53"/>
        <v>0</v>
      </c>
      <c r="S264" s="84">
        <f t="shared" si="54"/>
        <v>0</v>
      </c>
      <c r="T264"/>
      <c r="U264"/>
      <c r="V264"/>
    </row>
    <row r="265" spans="1:22" s="16" customFormat="1" ht="15" customHeight="1" outlineLevel="1" x14ac:dyDescent="0.45">
      <c r="A265"/>
      <c r="B265" s="75"/>
      <c r="C265" s="78"/>
      <c r="D265" s="105"/>
      <c r="E265" s="106"/>
      <c r="F265" s="71"/>
      <c r="G265" s="78">
        <f t="shared" si="64"/>
        <v>0</v>
      </c>
      <c r="H265" s="3">
        <f t="shared" si="55"/>
        <v>0</v>
      </c>
      <c r="I265" s="20">
        <f t="shared" si="56"/>
        <v>0</v>
      </c>
      <c r="J265" s="94">
        <f t="shared" si="57"/>
        <v>0</v>
      </c>
      <c r="K265" s="20">
        <f t="shared" si="58"/>
        <v>0</v>
      </c>
      <c r="L265" s="94">
        <f t="shared" si="59"/>
        <v>0</v>
      </c>
      <c r="M265" s="78">
        <f t="shared" si="60"/>
        <v>0</v>
      </c>
      <c r="N265" s="79">
        <f t="shared" si="61"/>
        <v>0</v>
      </c>
      <c r="O265" s="94">
        <f t="shared" si="62"/>
        <v>0</v>
      </c>
      <c r="P265" s="106">
        <f t="shared" si="63"/>
        <v>0</v>
      </c>
      <c r="Q265" s="94">
        <f t="shared" si="52"/>
        <v>0</v>
      </c>
      <c r="R265" s="78">
        <f t="shared" si="53"/>
        <v>0</v>
      </c>
      <c r="S265" s="84">
        <f t="shared" si="54"/>
        <v>0</v>
      </c>
      <c r="T265"/>
      <c r="U265"/>
      <c r="V265"/>
    </row>
    <row r="266" spans="1:22" s="16" customFormat="1" ht="15" customHeight="1" outlineLevel="1" x14ac:dyDescent="0.45">
      <c r="A266"/>
      <c r="B266" s="75"/>
      <c r="C266" s="78"/>
      <c r="D266" s="105"/>
      <c r="E266" s="106"/>
      <c r="F266" s="71"/>
      <c r="G266" s="78">
        <f t="shared" si="64"/>
        <v>0</v>
      </c>
      <c r="H266" s="3">
        <f t="shared" si="55"/>
        <v>0</v>
      </c>
      <c r="I266" s="20">
        <f t="shared" si="56"/>
        <v>0</v>
      </c>
      <c r="J266" s="94">
        <f t="shared" si="57"/>
        <v>0</v>
      </c>
      <c r="K266" s="20">
        <f t="shared" si="58"/>
        <v>0</v>
      </c>
      <c r="L266" s="94">
        <f t="shared" si="59"/>
        <v>0</v>
      </c>
      <c r="M266" s="78">
        <f t="shared" si="60"/>
        <v>0</v>
      </c>
      <c r="N266" s="79">
        <f t="shared" si="61"/>
        <v>0</v>
      </c>
      <c r="O266" s="94">
        <f t="shared" si="62"/>
        <v>0</v>
      </c>
      <c r="P266" s="106">
        <f t="shared" si="63"/>
        <v>0</v>
      </c>
      <c r="Q266" s="94">
        <f t="shared" si="52"/>
        <v>0</v>
      </c>
      <c r="R266" s="78">
        <f t="shared" si="53"/>
        <v>0</v>
      </c>
      <c r="S266" s="84">
        <f t="shared" si="54"/>
        <v>0</v>
      </c>
      <c r="T266"/>
      <c r="U266"/>
      <c r="V266"/>
    </row>
    <row r="267" spans="1:22" s="16" customFormat="1" ht="15" customHeight="1" outlineLevel="1" x14ac:dyDescent="0.45">
      <c r="A267"/>
      <c r="B267" s="75"/>
      <c r="C267" s="78"/>
      <c r="D267" s="105"/>
      <c r="E267" s="106"/>
      <c r="F267" s="71"/>
      <c r="G267" s="78">
        <f t="shared" si="64"/>
        <v>0</v>
      </c>
      <c r="H267" s="3">
        <f t="shared" si="55"/>
        <v>0</v>
      </c>
      <c r="I267" s="20">
        <f t="shared" si="56"/>
        <v>0</v>
      </c>
      <c r="J267" s="94">
        <f t="shared" si="57"/>
        <v>0</v>
      </c>
      <c r="K267" s="20">
        <f t="shared" si="58"/>
        <v>0</v>
      </c>
      <c r="L267" s="94">
        <f t="shared" si="59"/>
        <v>0</v>
      </c>
      <c r="M267" s="78">
        <f t="shared" si="60"/>
        <v>0</v>
      </c>
      <c r="N267" s="79">
        <f t="shared" si="61"/>
        <v>0</v>
      </c>
      <c r="O267" s="94">
        <f t="shared" si="62"/>
        <v>0</v>
      </c>
      <c r="P267" s="106">
        <f t="shared" si="63"/>
        <v>0</v>
      </c>
      <c r="Q267" s="94">
        <f t="shared" si="52"/>
        <v>0</v>
      </c>
      <c r="R267" s="78">
        <f t="shared" si="53"/>
        <v>0</v>
      </c>
      <c r="S267" s="84">
        <f t="shared" si="54"/>
        <v>0</v>
      </c>
      <c r="T267"/>
      <c r="U267"/>
      <c r="V267"/>
    </row>
    <row r="268" spans="1:22" s="16" customFormat="1" ht="15" customHeight="1" outlineLevel="1" x14ac:dyDescent="0.45">
      <c r="A268"/>
      <c r="B268" s="75"/>
      <c r="C268" s="78"/>
      <c r="D268" s="105"/>
      <c r="E268" s="106"/>
      <c r="F268" s="71"/>
      <c r="G268" s="78">
        <f t="shared" si="64"/>
        <v>0</v>
      </c>
      <c r="H268" s="3">
        <f t="shared" si="55"/>
        <v>0</v>
      </c>
      <c r="I268" s="20">
        <f t="shared" si="56"/>
        <v>0</v>
      </c>
      <c r="J268" s="94">
        <f t="shared" si="57"/>
        <v>0</v>
      </c>
      <c r="K268" s="20">
        <f t="shared" si="58"/>
        <v>0</v>
      </c>
      <c r="L268" s="94">
        <f t="shared" si="59"/>
        <v>0</v>
      </c>
      <c r="M268" s="78">
        <f t="shared" si="60"/>
        <v>0</v>
      </c>
      <c r="N268" s="79">
        <f t="shared" si="61"/>
        <v>0</v>
      </c>
      <c r="O268" s="94">
        <f t="shared" si="62"/>
        <v>0</v>
      </c>
      <c r="P268" s="106">
        <f t="shared" si="63"/>
        <v>0</v>
      </c>
      <c r="Q268" s="94">
        <f t="shared" si="52"/>
        <v>0</v>
      </c>
      <c r="R268" s="78">
        <f t="shared" si="53"/>
        <v>0</v>
      </c>
      <c r="S268" s="84">
        <f t="shared" si="54"/>
        <v>0</v>
      </c>
      <c r="T268"/>
      <c r="U268"/>
      <c r="V268"/>
    </row>
    <row r="269" spans="1:22" s="16" customFormat="1" ht="15" customHeight="1" outlineLevel="1" x14ac:dyDescent="0.45">
      <c r="A269"/>
      <c r="B269" s="75"/>
      <c r="C269" s="78"/>
      <c r="D269" s="105"/>
      <c r="E269" s="106"/>
      <c r="F269" s="71"/>
      <c r="G269" s="78">
        <f t="shared" si="64"/>
        <v>0</v>
      </c>
      <c r="H269" s="3">
        <f t="shared" si="55"/>
        <v>0</v>
      </c>
      <c r="I269" s="20">
        <f t="shared" si="56"/>
        <v>0</v>
      </c>
      <c r="J269" s="94">
        <f t="shared" si="57"/>
        <v>0</v>
      </c>
      <c r="K269" s="20">
        <f t="shared" si="58"/>
        <v>0</v>
      </c>
      <c r="L269" s="94">
        <f t="shared" si="59"/>
        <v>0</v>
      </c>
      <c r="M269" s="78">
        <f t="shared" si="60"/>
        <v>0</v>
      </c>
      <c r="N269" s="79">
        <f t="shared" si="61"/>
        <v>0</v>
      </c>
      <c r="O269" s="94">
        <f t="shared" si="62"/>
        <v>0</v>
      </c>
      <c r="P269" s="106">
        <f t="shared" si="63"/>
        <v>0</v>
      </c>
      <c r="Q269" s="94">
        <f t="shared" si="52"/>
        <v>0</v>
      </c>
      <c r="R269" s="78">
        <f t="shared" si="53"/>
        <v>0</v>
      </c>
      <c r="S269" s="84">
        <f t="shared" si="54"/>
        <v>0</v>
      </c>
      <c r="T269"/>
      <c r="U269"/>
      <c r="V269"/>
    </row>
    <row r="270" spans="1:22" s="16" customFormat="1" ht="15" customHeight="1" outlineLevel="1" x14ac:dyDescent="0.45">
      <c r="A270"/>
      <c r="B270" s="75"/>
      <c r="C270" s="78"/>
      <c r="D270" s="105"/>
      <c r="E270" s="106"/>
      <c r="F270" s="71"/>
      <c r="G270" s="78">
        <f t="shared" si="64"/>
        <v>0</v>
      </c>
      <c r="H270" s="3">
        <f t="shared" si="55"/>
        <v>0</v>
      </c>
      <c r="I270" s="20">
        <f t="shared" si="56"/>
        <v>0</v>
      </c>
      <c r="J270" s="94">
        <f t="shared" si="57"/>
        <v>0</v>
      </c>
      <c r="K270" s="20">
        <f t="shared" si="58"/>
        <v>0</v>
      </c>
      <c r="L270" s="94">
        <f t="shared" si="59"/>
        <v>0</v>
      </c>
      <c r="M270" s="78">
        <f t="shared" si="60"/>
        <v>0</v>
      </c>
      <c r="N270" s="79">
        <f t="shared" si="61"/>
        <v>0</v>
      </c>
      <c r="O270" s="94">
        <f t="shared" si="62"/>
        <v>0</v>
      </c>
      <c r="P270" s="106">
        <f t="shared" si="63"/>
        <v>0</v>
      </c>
      <c r="Q270" s="94">
        <f t="shared" si="52"/>
        <v>0</v>
      </c>
      <c r="R270" s="78">
        <f t="shared" si="53"/>
        <v>0</v>
      </c>
      <c r="S270" s="84">
        <f t="shared" si="54"/>
        <v>0</v>
      </c>
      <c r="T270"/>
      <c r="U270"/>
      <c r="V270"/>
    </row>
    <row r="271" spans="1:22" s="16" customFormat="1" ht="15" customHeight="1" outlineLevel="1" x14ac:dyDescent="0.45">
      <c r="A271"/>
      <c r="B271" s="75"/>
      <c r="C271" s="78"/>
      <c r="D271" s="105"/>
      <c r="E271" s="106"/>
      <c r="F271" s="71"/>
      <c r="G271" s="78">
        <f t="shared" si="64"/>
        <v>0</v>
      </c>
      <c r="H271" s="3">
        <f t="shared" si="55"/>
        <v>0</v>
      </c>
      <c r="I271" s="20">
        <f t="shared" si="56"/>
        <v>0</v>
      </c>
      <c r="J271" s="94">
        <f t="shared" si="57"/>
        <v>0</v>
      </c>
      <c r="K271" s="20">
        <f t="shared" si="58"/>
        <v>0</v>
      </c>
      <c r="L271" s="94">
        <f t="shared" si="59"/>
        <v>0</v>
      </c>
      <c r="M271" s="78">
        <f t="shared" si="60"/>
        <v>0</v>
      </c>
      <c r="N271" s="79">
        <f t="shared" si="61"/>
        <v>0</v>
      </c>
      <c r="O271" s="94">
        <f t="shared" si="62"/>
        <v>0</v>
      </c>
      <c r="P271" s="106">
        <f t="shared" si="63"/>
        <v>0</v>
      </c>
      <c r="Q271" s="94">
        <f t="shared" si="52"/>
        <v>0</v>
      </c>
      <c r="R271" s="78">
        <f t="shared" si="53"/>
        <v>0</v>
      </c>
      <c r="S271" s="84">
        <f t="shared" si="54"/>
        <v>0</v>
      </c>
      <c r="T271"/>
      <c r="U271"/>
      <c r="V271"/>
    </row>
    <row r="272" spans="1:22" s="16" customFormat="1" ht="15" customHeight="1" outlineLevel="1" x14ac:dyDescent="0.45">
      <c r="A272"/>
      <c r="B272" s="75"/>
      <c r="C272" s="78"/>
      <c r="D272" s="105"/>
      <c r="E272" s="106"/>
      <c r="F272" s="71"/>
      <c r="G272" s="78">
        <f t="shared" si="64"/>
        <v>0</v>
      </c>
      <c r="H272" s="3">
        <f t="shared" si="55"/>
        <v>0</v>
      </c>
      <c r="I272" s="20">
        <f t="shared" si="56"/>
        <v>0</v>
      </c>
      <c r="J272" s="94">
        <f t="shared" si="57"/>
        <v>0</v>
      </c>
      <c r="K272" s="20">
        <f t="shared" si="58"/>
        <v>0</v>
      </c>
      <c r="L272" s="94">
        <f t="shared" si="59"/>
        <v>0</v>
      </c>
      <c r="M272" s="78">
        <f t="shared" si="60"/>
        <v>0</v>
      </c>
      <c r="N272" s="79">
        <f t="shared" si="61"/>
        <v>0</v>
      </c>
      <c r="O272" s="94">
        <f t="shared" si="62"/>
        <v>0</v>
      </c>
      <c r="P272" s="106">
        <f t="shared" si="63"/>
        <v>0</v>
      </c>
      <c r="Q272" s="94">
        <f t="shared" si="52"/>
        <v>0</v>
      </c>
      <c r="R272" s="78">
        <f t="shared" si="53"/>
        <v>0</v>
      </c>
      <c r="S272" s="84">
        <f t="shared" si="54"/>
        <v>0</v>
      </c>
      <c r="T272"/>
      <c r="U272"/>
      <c r="V272"/>
    </row>
    <row r="273" spans="1:22" s="16" customFormat="1" ht="15" customHeight="1" outlineLevel="1" x14ac:dyDescent="0.45">
      <c r="A273"/>
      <c r="B273" s="75"/>
      <c r="C273" s="78"/>
      <c r="D273" s="105"/>
      <c r="E273" s="106"/>
      <c r="F273" s="71"/>
      <c r="G273" s="78">
        <f t="shared" si="64"/>
        <v>0</v>
      </c>
      <c r="H273" s="3">
        <f t="shared" si="55"/>
        <v>0</v>
      </c>
      <c r="I273" s="20">
        <f t="shared" si="56"/>
        <v>0</v>
      </c>
      <c r="J273" s="94">
        <f t="shared" si="57"/>
        <v>0</v>
      </c>
      <c r="K273" s="20">
        <f t="shared" si="58"/>
        <v>0</v>
      </c>
      <c r="L273" s="94">
        <f t="shared" si="59"/>
        <v>0</v>
      </c>
      <c r="M273" s="78">
        <f t="shared" si="60"/>
        <v>0</v>
      </c>
      <c r="N273" s="79">
        <f t="shared" si="61"/>
        <v>0</v>
      </c>
      <c r="O273" s="94">
        <f t="shared" si="62"/>
        <v>0</v>
      </c>
      <c r="P273" s="106">
        <f t="shared" si="63"/>
        <v>0</v>
      </c>
      <c r="Q273" s="94">
        <f t="shared" si="52"/>
        <v>0</v>
      </c>
      <c r="R273" s="78">
        <f t="shared" si="53"/>
        <v>0</v>
      </c>
      <c r="S273" s="84">
        <f t="shared" si="54"/>
        <v>0</v>
      </c>
      <c r="T273"/>
      <c r="U273"/>
      <c r="V273"/>
    </row>
    <row r="274" spans="1:22" s="16" customFormat="1" ht="15" customHeight="1" outlineLevel="1" x14ac:dyDescent="0.45">
      <c r="A274"/>
      <c r="B274" s="75"/>
      <c r="C274" s="78"/>
      <c r="D274" s="105"/>
      <c r="E274" s="106"/>
      <c r="F274" s="71"/>
      <c r="G274" s="78">
        <f t="shared" si="64"/>
        <v>0</v>
      </c>
      <c r="H274" s="3">
        <f t="shared" si="55"/>
        <v>0</v>
      </c>
      <c r="I274" s="20">
        <f t="shared" si="56"/>
        <v>0</v>
      </c>
      <c r="J274" s="94">
        <f t="shared" si="57"/>
        <v>0</v>
      </c>
      <c r="K274" s="20">
        <f t="shared" si="58"/>
        <v>0</v>
      </c>
      <c r="L274" s="94">
        <f t="shared" si="59"/>
        <v>0</v>
      </c>
      <c r="M274" s="78">
        <f t="shared" si="60"/>
        <v>0</v>
      </c>
      <c r="N274" s="79">
        <f t="shared" si="61"/>
        <v>0</v>
      </c>
      <c r="O274" s="94">
        <f t="shared" si="62"/>
        <v>0</v>
      </c>
      <c r="P274" s="106">
        <f t="shared" si="63"/>
        <v>0</v>
      </c>
      <c r="Q274" s="94">
        <f t="shared" si="52"/>
        <v>0</v>
      </c>
      <c r="R274" s="78">
        <f t="shared" si="53"/>
        <v>0</v>
      </c>
      <c r="S274" s="84">
        <f t="shared" si="54"/>
        <v>0</v>
      </c>
      <c r="T274"/>
      <c r="U274"/>
      <c r="V274"/>
    </row>
    <row r="275" spans="1:22" s="16" customFormat="1" ht="15" customHeight="1" outlineLevel="1" x14ac:dyDescent="0.45">
      <c r="A275"/>
      <c r="B275" s="75"/>
      <c r="C275" s="78"/>
      <c r="D275" s="105"/>
      <c r="E275" s="106"/>
      <c r="F275" s="71"/>
      <c r="G275" s="78">
        <f t="shared" si="64"/>
        <v>0</v>
      </c>
      <c r="H275" s="3">
        <f t="shared" si="55"/>
        <v>0</v>
      </c>
      <c r="I275" s="20">
        <f t="shared" si="56"/>
        <v>0</v>
      </c>
      <c r="J275" s="94">
        <f t="shared" si="57"/>
        <v>0</v>
      </c>
      <c r="K275" s="20">
        <f t="shared" si="58"/>
        <v>0</v>
      </c>
      <c r="L275" s="94">
        <f t="shared" si="59"/>
        <v>0</v>
      </c>
      <c r="M275" s="78">
        <f t="shared" si="60"/>
        <v>0</v>
      </c>
      <c r="N275" s="79">
        <f t="shared" si="61"/>
        <v>0</v>
      </c>
      <c r="O275" s="94">
        <f t="shared" si="62"/>
        <v>0</v>
      </c>
      <c r="P275" s="106">
        <f t="shared" si="63"/>
        <v>0</v>
      </c>
      <c r="Q275" s="94">
        <f t="shared" si="52"/>
        <v>0</v>
      </c>
      <c r="R275" s="78">
        <f t="shared" si="53"/>
        <v>0</v>
      </c>
      <c r="S275" s="84">
        <f t="shared" si="54"/>
        <v>0</v>
      </c>
      <c r="T275"/>
      <c r="U275"/>
      <c r="V275"/>
    </row>
    <row r="276" spans="1:22" s="16" customFormat="1" ht="15" customHeight="1" outlineLevel="1" x14ac:dyDescent="0.45">
      <c r="A276"/>
      <c r="B276" s="75"/>
      <c r="C276" s="78"/>
      <c r="D276" s="105"/>
      <c r="E276" s="106"/>
      <c r="F276" s="71"/>
      <c r="G276" s="78">
        <f t="shared" si="64"/>
        <v>0</v>
      </c>
      <c r="H276" s="3">
        <f t="shared" si="55"/>
        <v>0</v>
      </c>
      <c r="I276" s="20">
        <f t="shared" si="56"/>
        <v>0</v>
      </c>
      <c r="J276" s="94">
        <f t="shared" si="57"/>
        <v>0</v>
      </c>
      <c r="K276" s="20">
        <f t="shared" si="58"/>
        <v>0</v>
      </c>
      <c r="L276" s="94">
        <f t="shared" si="59"/>
        <v>0</v>
      </c>
      <c r="M276" s="78">
        <f t="shared" si="60"/>
        <v>0</v>
      </c>
      <c r="N276" s="79">
        <f t="shared" si="61"/>
        <v>0</v>
      </c>
      <c r="O276" s="94">
        <f t="shared" si="62"/>
        <v>0</v>
      </c>
      <c r="P276" s="106">
        <f t="shared" si="63"/>
        <v>0</v>
      </c>
      <c r="Q276" s="94">
        <f t="shared" si="52"/>
        <v>0</v>
      </c>
      <c r="R276" s="78">
        <f t="shared" si="53"/>
        <v>0</v>
      </c>
      <c r="S276" s="84">
        <f t="shared" si="54"/>
        <v>0</v>
      </c>
      <c r="T276"/>
      <c r="U276"/>
      <c r="V276"/>
    </row>
    <row r="277" spans="1:22" s="16" customFormat="1" ht="15" customHeight="1" outlineLevel="1" x14ac:dyDescent="0.45">
      <c r="A277"/>
      <c r="B277" s="75"/>
      <c r="C277" s="78"/>
      <c r="D277" s="105"/>
      <c r="E277" s="106"/>
      <c r="F277" s="71"/>
      <c r="G277" s="78">
        <f t="shared" si="64"/>
        <v>0</v>
      </c>
      <c r="H277" s="3">
        <f t="shared" si="55"/>
        <v>0</v>
      </c>
      <c r="I277" s="20">
        <f t="shared" si="56"/>
        <v>0</v>
      </c>
      <c r="J277" s="94">
        <f t="shared" si="57"/>
        <v>0</v>
      </c>
      <c r="K277" s="20">
        <f t="shared" si="58"/>
        <v>0</v>
      </c>
      <c r="L277" s="94">
        <f t="shared" si="59"/>
        <v>0</v>
      </c>
      <c r="M277" s="78">
        <f t="shared" si="60"/>
        <v>0</v>
      </c>
      <c r="N277" s="79">
        <f t="shared" si="61"/>
        <v>0</v>
      </c>
      <c r="O277" s="94">
        <f t="shared" si="62"/>
        <v>0</v>
      </c>
      <c r="P277" s="106">
        <f t="shared" si="63"/>
        <v>0</v>
      </c>
      <c r="Q277" s="94">
        <f t="shared" si="52"/>
        <v>0</v>
      </c>
      <c r="R277" s="78">
        <f t="shared" si="53"/>
        <v>0</v>
      </c>
      <c r="S277" s="84">
        <f t="shared" si="54"/>
        <v>0</v>
      </c>
      <c r="T277"/>
      <c r="U277"/>
      <c r="V277"/>
    </row>
    <row r="278" spans="1:22" s="16" customFormat="1" ht="15" customHeight="1" outlineLevel="1" x14ac:dyDescent="0.45">
      <c r="A278"/>
      <c r="B278" s="75"/>
      <c r="C278" s="78"/>
      <c r="D278" s="105"/>
      <c r="E278" s="106"/>
      <c r="F278" s="71"/>
      <c r="G278" s="78">
        <f t="shared" si="64"/>
        <v>0</v>
      </c>
      <c r="H278" s="3">
        <f t="shared" si="55"/>
        <v>0</v>
      </c>
      <c r="I278" s="20">
        <f t="shared" si="56"/>
        <v>0</v>
      </c>
      <c r="J278" s="94">
        <f t="shared" si="57"/>
        <v>0</v>
      </c>
      <c r="K278" s="20">
        <f t="shared" si="58"/>
        <v>0</v>
      </c>
      <c r="L278" s="94">
        <f t="shared" si="59"/>
        <v>0</v>
      </c>
      <c r="M278" s="78">
        <f t="shared" si="60"/>
        <v>0</v>
      </c>
      <c r="N278" s="79">
        <f t="shared" si="61"/>
        <v>0</v>
      </c>
      <c r="O278" s="94">
        <f t="shared" si="62"/>
        <v>0</v>
      </c>
      <c r="P278" s="106">
        <f t="shared" si="63"/>
        <v>0</v>
      </c>
      <c r="Q278" s="94">
        <f t="shared" si="52"/>
        <v>0</v>
      </c>
      <c r="R278" s="78">
        <f t="shared" si="53"/>
        <v>0</v>
      </c>
      <c r="S278" s="84">
        <f t="shared" si="54"/>
        <v>0</v>
      </c>
      <c r="T278"/>
      <c r="U278"/>
      <c r="V278"/>
    </row>
    <row r="279" spans="1:22" s="16" customFormat="1" ht="15" customHeight="1" outlineLevel="1" x14ac:dyDescent="0.45">
      <c r="A279"/>
      <c r="B279" s="75"/>
      <c r="C279" s="78"/>
      <c r="D279" s="105"/>
      <c r="E279" s="106"/>
      <c r="F279" s="71"/>
      <c r="G279" s="78">
        <f t="shared" si="64"/>
        <v>0</v>
      </c>
      <c r="H279" s="3">
        <f t="shared" si="55"/>
        <v>0</v>
      </c>
      <c r="I279" s="20">
        <f t="shared" si="56"/>
        <v>0</v>
      </c>
      <c r="J279" s="94">
        <f t="shared" si="57"/>
        <v>0</v>
      </c>
      <c r="K279" s="20">
        <f t="shared" si="58"/>
        <v>0</v>
      </c>
      <c r="L279" s="94">
        <f t="shared" si="59"/>
        <v>0</v>
      </c>
      <c r="M279" s="78">
        <f t="shared" si="60"/>
        <v>0</v>
      </c>
      <c r="N279" s="79">
        <f t="shared" si="61"/>
        <v>0</v>
      </c>
      <c r="O279" s="94">
        <f t="shared" si="62"/>
        <v>0</v>
      </c>
      <c r="P279" s="106">
        <f t="shared" si="63"/>
        <v>0</v>
      </c>
      <c r="Q279" s="94">
        <f t="shared" si="52"/>
        <v>0</v>
      </c>
      <c r="R279" s="78">
        <f t="shared" si="53"/>
        <v>0</v>
      </c>
      <c r="S279" s="84">
        <f t="shared" si="54"/>
        <v>0</v>
      </c>
      <c r="T279"/>
      <c r="U279"/>
      <c r="V279"/>
    </row>
    <row r="280" spans="1:22" s="16" customFormat="1" ht="15" customHeight="1" outlineLevel="1" x14ac:dyDescent="0.45">
      <c r="A280"/>
      <c r="B280" s="75"/>
      <c r="C280" s="78"/>
      <c r="D280" s="105"/>
      <c r="E280" s="106"/>
      <c r="F280" s="71"/>
      <c r="G280" s="78">
        <f t="shared" si="64"/>
        <v>0</v>
      </c>
      <c r="H280" s="3">
        <f t="shared" si="55"/>
        <v>0</v>
      </c>
      <c r="I280" s="20">
        <f t="shared" si="56"/>
        <v>0</v>
      </c>
      <c r="J280" s="94">
        <f t="shared" si="57"/>
        <v>0</v>
      </c>
      <c r="K280" s="20">
        <f t="shared" si="58"/>
        <v>0</v>
      </c>
      <c r="L280" s="94">
        <f t="shared" si="59"/>
        <v>0</v>
      </c>
      <c r="M280" s="78">
        <f t="shared" si="60"/>
        <v>0</v>
      </c>
      <c r="N280" s="79">
        <f t="shared" si="61"/>
        <v>0</v>
      </c>
      <c r="O280" s="94">
        <f t="shared" si="62"/>
        <v>0</v>
      </c>
      <c r="P280" s="106">
        <f t="shared" si="63"/>
        <v>0</v>
      </c>
      <c r="Q280" s="94">
        <f t="shared" si="52"/>
        <v>0</v>
      </c>
      <c r="R280" s="78">
        <f t="shared" si="53"/>
        <v>0</v>
      </c>
      <c r="S280" s="84">
        <f t="shared" si="54"/>
        <v>0</v>
      </c>
      <c r="T280"/>
      <c r="U280"/>
      <c r="V280"/>
    </row>
    <row r="281" spans="1:22" s="16" customFormat="1" ht="15" customHeight="1" outlineLevel="1" x14ac:dyDescent="0.45">
      <c r="A281"/>
      <c r="B281" s="75"/>
      <c r="C281" s="78"/>
      <c r="D281" s="105"/>
      <c r="E281" s="106"/>
      <c r="F281" s="71"/>
      <c r="G281" s="78">
        <f t="shared" si="64"/>
        <v>0</v>
      </c>
      <c r="H281" s="3">
        <f t="shared" si="55"/>
        <v>0</v>
      </c>
      <c r="I281" s="20">
        <f t="shared" si="56"/>
        <v>0</v>
      </c>
      <c r="J281" s="94">
        <f t="shared" si="57"/>
        <v>0</v>
      </c>
      <c r="K281" s="20">
        <f t="shared" si="58"/>
        <v>0</v>
      </c>
      <c r="L281" s="94">
        <f t="shared" si="59"/>
        <v>0</v>
      </c>
      <c r="M281" s="78">
        <f t="shared" si="60"/>
        <v>0</v>
      </c>
      <c r="N281" s="79">
        <f t="shared" si="61"/>
        <v>0</v>
      </c>
      <c r="O281" s="94">
        <f t="shared" si="62"/>
        <v>0</v>
      </c>
      <c r="P281" s="106">
        <f t="shared" si="63"/>
        <v>0</v>
      </c>
      <c r="Q281" s="94">
        <f t="shared" si="52"/>
        <v>0</v>
      </c>
      <c r="R281" s="78">
        <f t="shared" si="53"/>
        <v>0</v>
      </c>
      <c r="S281" s="84">
        <f t="shared" si="54"/>
        <v>0</v>
      </c>
      <c r="T281"/>
      <c r="U281"/>
      <c r="V281"/>
    </row>
    <row r="282" spans="1:22" s="16" customFormat="1" ht="15" customHeight="1" outlineLevel="1" x14ac:dyDescent="0.45">
      <c r="A282"/>
      <c r="B282" s="75"/>
      <c r="C282" s="78"/>
      <c r="D282" s="105"/>
      <c r="E282" s="106"/>
      <c r="F282" s="71"/>
      <c r="G282" s="78">
        <f t="shared" si="64"/>
        <v>0</v>
      </c>
      <c r="H282" s="3">
        <f t="shared" si="55"/>
        <v>0</v>
      </c>
      <c r="I282" s="20">
        <f t="shared" si="56"/>
        <v>0</v>
      </c>
      <c r="J282" s="94">
        <f t="shared" si="57"/>
        <v>0</v>
      </c>
      <c r="K282" s="20">
        <f t="shared" si="58"/>
        <v>0</v>
      </c>
      <c r="L282" s="94">
        <f t="shared" si="59"/>
        <v>0</v>
      </c>
      <c r="M282" s="78">
        <f t="shared" si="60"/>
        <v>0</v>
      </c>
      <c r="N282" s="79">
        <f t="shared" si="61"/>
        <v>0</v>
      </c>
      <c r="O282" s="94">
        <f t="shared" si="62"/>
        <v>0</v>
      </c>
      <c r="P282" s="106">
        <f t="shared" si="63"/>
        <v>0</v>
      </c>
      <c r="Q282" s="94">
        <f t="shared" si="52"/>
        <v>0</v>
      </c>
      <c r="R282" s="78">
        <f t="shared" si="53"/>
        <v>0</v>
      </c>
      <c r="S282" s="84">
        <f t="shared" si="54"/>
        <v>0</v>
      </c>
      <c r="T282"/>
      <c r="U282"/>
      <c r="V282"/>
    </row>
    <row r="283" spans="1:22" s="16" customFormat="1" ht="15" customHeight="1" outlineLevel="1" x14ac:dyDescent="0.45">
      <c r="A283"/>
      <c r="B283" s="75"/>
      <c r="C283" s="78"/>
      <c r="D283" s="105"/>
      <c r="E283" s="106"/>
      <c r="F283" s="71"/>
      <c r="G283" s="78">
        <f t="shared" si="64"/>
        <v>0</v>
      </c>
      <c r="H283" s="3">
        <f t="shared" si="55"/>
        <v>0</v>
      </c>
      <c r="I283" s="20">
        <f t="shared" si="56"/>
        <v>0</v>
      </c>
      <c r="J283" s="94">
        <f t="shared" si="57"/>
        <v>0</v>
      </c>
      <c r="K283" s="20">
        <f t="shared" si="58"/>
        <v>0</v>
      </c>
      <c r="L283" s="94">
        <f t="shared" si="59"/>
        <v>0</v>
      </c>
      <c r="M283" s="78">
        <f t="shared" si="60"/>
        <v>0</v>
      </c>
      <c r="N283" s="79">
        <f t="shared" si="61"/>
        <v>0</v>
      </c>
      <c r="O283" s="94">
        <f t="shared" si="62"/>
        <v>0</v>
      </c>
      <c r="P283" s="106">
        <f t="shared" si="63"/>
        <v>0</v>
      </c>
      <c r="Q283" s="94">
        <f t="shared" si="52"/>
        <v>0</v>
      </c>
      <c r="R283" s="78">
        <f t="shared" si="53"/>
        <v>0</v>
      </c>
      <c r="S283" s="84">
        <f t="shared" si="54"/>
        <v>0</v>
      </c>
      <c r="T283"/>
      <c r="U283"/>
      <c r="V283"/>
    </row>
    <row r="284" spans="1:22" s="16" customFormat="1" ht="15" customHeight="1" outlineLevel="1" x14ac:dyDescent="0.45">
      <c r="A284"/>
      <c r="B284" s="75"/>
      <c r="C284" s="78"/>
      <c r="D284" s="105"/>
      <c r="E284" s="106"/>
      <c r="F284" s="71"/>
      <c r="G284" s="78">
        <f t="shared" si="64"/>
        <v>0</v>
      </c>
      <c r="H284" s="3">
        <f t="shared" si="55"/>
        <v>0</v>
      </c>
      <c r="I284" s="20">
        <f t="shared" si="56"/>
        <v>0</v>
      </c>
      <c r="J284" s="94">
        <f t="shared" si="57"/>
        <v>0</v>
      </c>
      <c r="K284" s="20">
        <f t="shared" si="58"/>
        <v>0</v>
      </c>
      <c r="L284" s="94">
        <f t="shared" si="59"/>
        <v>0</v>
      </c>
      <c r="M284" s="78">
        <f t="shared" si="60"/>
        <v>0</v>
      </c>
      <c r="N284" s="79">
        <f t="shared" si="61"/>
        <v>0</v>
      </c>
      <c r="O284" s="94">
        <f t="shared" si="62"/>
        <v>0</v>
      </c>
      <c r="P284" s="106">
        <f t="shared" si="63"/>
        <v>0</v>
      </c>
      <c r="Q284" s="94">
        <f t="shared" si="52"/>
        <v>0</v>
      </c>
      <c r="R284" s="78">
        <f t="shared" si="53"/>
        <v>0</v>
      </c>
      <c r="S284" s="84">
        <f t="shared" si="54"/>
        <v>0</v>
      </c>
      <c r="T284"/>
      <c r="U284"/>
      <c r="V284"/>
    </row>
    <row r="285" spans="1:22" s="16" customFormat="1" ht="15" customHeight="1" outlineLevel="1" x14ac:dyDescent="0.45">
      <c r="A285"/>
      <c r="B285" s="75"/>
      <c r="C285" s="78"/>
      <c r="D285" s="105"/>
      <c r="E285" s="106"/>
      <c r="F285" s="71"/>
      <c r="G285" s="78">
        <f t="shared" si="64"/>
        <v>0</v>
      </c>
      <c r="H285" s="3">
        <f t="shared" si="55"/>
        <v>0</v>
      </c>
      <c r="I285" s="20">
        <f t="shared" si="56"/>
        <v>0</v>
      </c>
      <c r="J285" s="94">
        <f t="shared" si="57"/>
        <v>0</v>
      </c>
      <c r="K285" s="20">
        <f t="shared" si="58"/>
        <v>0</v>
      </c>
      <c r="L285" s="94">
        <f t="shared" si="59"/>
        <v>0</v>
      </c>
      <c r="M285" s="78">
        <f t="shared" si="60"/>
        <v>0</v>
      </c>
      <c r="N285" s="79">
        <f t="shared" si="61"/>
        <v>0</v>
      </c>
      <c r="O285" s="94">
        <f t="shared" si="62"/>
        <v>0</v>
      </c>
      <c r="P285" s="106">
        <f t="shared" si="63"/>
        <v>0</v>
      </c>
      <c r="Q285" s="94">
        <f t="shared" si="52"/>
        <v>0</v>
      </c>
      <c r="R285" s="78">
        <f t="shared" si="53"/>
        <v>0</v>
      </c>
      <c r="S285" s="84">
        <f t="shared" si="54"/>
        <v>0</v>
      </c>
      <c r="T285"/>
      <c r="U285"/>
      <c r="V285"/>
    </row>
    <row r="286" spans="1:22" s="16" customFormat="1" ht="15" customHeight="1" outlineLevel="1" x14ac:dyDescent="0.45">
      <c r="A286"/>
      <c r="B286" s="75"/>
      <c r="C286" s="78"/>
      <c r="D286" s="105"/>
      <c r="E286" s="106"/>
      <c r="F286" s="71"/>
      <c r="G286" s="78">
        <f t="shared" si="64"/>
        <v>0</v>
      </c>
      <c r="H286" s="3">
        <f t="shared" si="55"/>
        <v>0</v>
      </c>
      <c r="I286" s="20">
        <f t="shared" si="56"/>
        <v>0</v>
      </c>
      <c r="J286" s="94">
        <f t="shared" si="57"/>
        <v>0</v>
      </c>
      <c r="K286" s="20">
        <f t="shared" si="58"/>
        <v>0</v>
      </c>
      <c r="L286" s="94">
        <f t="shared" si="59"/>
        <v>0</v>
      </c>
      <c r="M286" s="78">
        <f t="shared" si="60"/>
        <v>0</v>
      </c>
      <c r="N286" s="79">
        <f t="shared" si="61"/>
        <v>0</v>
      </c>
      <c r="O286" s="94">
        <f t="shared" si="62"/>
        <v>0</v>
      </c>
      <c r="P286" s="106">
        <f t="shared" si="63"/>
        <v>0</v>
      </c>
      <c r="Q286" s="94">
        <f t="shared" si="52"/>
        <v>0</v>
      </c>
      <c r="R286" s="78">
        <f t="shared" si="53"/>
        <v>0</v>
      </c>
      <c r="S286" s="84">
        <f t="shared" si="54"/>
        <v>0</v>
      </c>
      <c r="T286"/>
      <c r="U286"/>
      <c r="V286"/>
    </row>
    <row r="287" spans="1:22" s="16" customFormat="1" ht="15" customHeight="1" outlineLevel="1" x14ac:dyDescent="0.45">
      <c r="A287"/>
      <c r="B287" s="75"/>
      <c r="C287" s="78"/>
      <c r="D287" s="105"/>
      <c r="E287" s="106"/>
      <c r="F287" s="71"/>
      <c r="G287" s="78">
        <f t="shared" si="64"/>
        <v>0</v>
      </c>
      <c r="H287" s="3">
        <f t="shared" si="55"/>
        <v>0</v>
      </c>
      <c r="I287" s="20">
        <f t="shared" si="56"/>
        <v>0</v>
      </c>
      <c r="J287" s="94">
        <f t="shared" si="57"/>
        <v>0</v>
      </c>
      <c r="K287" s="20">
        <f t="shared" si="58"/>
        <v>0</v>
      </c>
      <c r="L287" s="94">
        <f t="shared" si="59"/>
        <v>0</v>
      </c>
      <c r="M287" s="78">
        <f t="shared" si="60"/>
        <v>0</v>
      </c>
      <c r="N287" s="79">
        <f t="shared" si="61"/>
        <v>0</v>
      </c>
      <c r="O287" s="94">
        <f t="shared" si="62"/>
        <v>0</v>
      </c>
      <c r="P287" s="106">
        <f t="shared" si="63"/>
        <v>0</v>
      </c>
      <c r="Q287" s="94">
        <f t="shared" si="52"/>
        <v>0</v>
      </c>
      <c r="R287" s="78">
        <f t="shared" si="53"/>
        <v>0</v>
      </c>
      <c r="S287" s="84">
        <f t="shared" si="54"/>
        <v>0</v>
      </c>
      <c r="T287"/>
      <c r="U287"/>
      <c r="V287"/>
    </row>
    <row r="288" spans="1:22" s="16" customFormat="1" ht="15" customHeight="1" outlineLevel="1" x14ac:dyDescent="0.45">
      <c r="A288"/>
      <c r="B288" s="75"/>
      <c r="C288" s="78"/>
      <c r="D288" s="105"/>
      <c r="E288" s="106"/>
      <c r="F288" s="71"/>
      <c r="G288" s="78">
        <f t="shared" si="64"/>
        <v>0</v>
      </c>
      <c r="H288" s="3">
        <f t="shared" si="55"/>
        <v>0</v>
      </c>
      <c r="I288" s="20">
        <f t="shared" si="56"/>
        <v>0</v>
      </c>
      <c r="J288" s="94">
        <f t="shared" si="57"/>
        <v>0</v>
      </c>
      <c r="K288" s="20">
        <f t="shared" si="58"/>
        <v>0</v>
      </c>
      <c r="L288" s="94">
        <f t="shared" si="59"/>
        <v>0</v>
      </c>
      <c r="M288" s="78">
        <f t="shared" si="60"/>
        <v>0</v>
      </c>
      <c r="N288" s="79">
        <f t="shared" si="61"/>
        <v>0</v>
      </c>
      <c r="O288" s="94">
        <f t="shared" si="62"/>
        <v>0</v>
      </c>
      <c r="P288" s="106">
        <f t="shared" si="63"/>
        <v>0</v>
      </c>
      <c r="Q288" s="94">
        <f t="shared" si="52"/>
        <v>0</v>
      </c>
      <c r="R288" s="78">
        <f t="shared" si="53"/>
        <v>0</v>
      </c>
      <c r="S288" s="84">
        <f t="shared" si="54"/>
        <v>0</v>
      </c>
      <c r="T288"/>
      <c r="U288"/>
      <c r="V288"/>
    </row>
    <row r="289" spans="1:22" s="16" customFormat="1" ht="15" customHeight="1" outlineLevel="1" x14ac:dyDescent="0.45">
      <c r="A289"/>
      <c r="B289" s="75"/>
      <c r="C289" s="78"/>
      <c r="D289" s="105"/>
      <c r="E289" s="106"/>
      <c r="F289" s="71"/>
      <c r="G289" s="78">
        <f t="shared" si="64"/>
        <v>0</v>
      </c>
      <c r="H289" s="3">
        <f t="shared" si="55"/>
        <v>0</v>
      </c>
      <c r="I289" s="20">
        <f t="shared" si="56"/>
        <v>0</v>
      </c>
      <c r="J289" s="94">
        <f t="shared" si="57"/>
        <v>0</v>
      </c>
      <c r="K289" s="20">
        <f t="shared" si="58"/>
        <v>0</v>
      </c>
      <c r="L289" s="94">
        <f t="shared" si="59"/>
        <v>0</v>
      </c>
      <c r="M289" s="78">
        <f t="shared" si="60"/>
        <v>0</v>
      </c>
      <c r="N289" s="79">
        <f t="shared" si="61"/>
        <v>0</v>
      </c>
      <c r="O289" s="94">
        <f t="shared" si="62"/>
        <v>0</v>
      </c>
      <c r="P289" s="106">
        <f t="shared" si="63"/>
        <v>0</v>
      </c>
      <c r="Q289" s="94">
        <f t="shared" si="52"/>
        <v>0</v>
      </c>
      <c r="R289" s="78">
        <f t="shared" si="53"/>
        <v>0</v>
      </c>
      <c r="S289" s="84">
        <f t="shared" si="54"/>
        <v>0</v>
      </c>
      <c r="T289"/>
      <c r="U289"/>
      <c r="V289"/>
    </row>
    <row r="290" spans="1:22" s="16" customFormat="1" ht="15" customHeight="1" outlineLevel="1" x14ac:dyDescent="0.45">
      <c r="A290"/>
      <c r="B290" s="75"/>
      <c r="C290" s="78"/>
      <c r="D290" s="105"/>
      <c r="E290" s="106"/>
      <c r="F290" s="71"/>
      <c r="G290" s="78">
        <f t="shared" si="64"/>
        <v>0</v>
      </c>
      <c r="H290" s="3">
        <f t="shared" si="55"/>
        <v>0</v>
      </c>
      <c r="I290" s="20">
        <f t="shared" si="56"/>
        <v>0</v>
      </c>
      <c r="J290" s="94">
        <f t="shared" si="57"/>
        <v>0</v>
      </c>
      <c r="K290" s="20">
        <f t="shared" si="58"/>
        <v>0</v>
      </c>
      <c r="L290" s="94">
        <f t="shared" si="59"/>
        <v>0</v>
      </c>
      <c r="M290" s="78">
        <f t="shared" si="60"/>
        <v>0</v>
      </c>
      <c r="N290" s="79">
        <f t="shared" si="61"/>
        <v>0</v>
      </c>
      <c r="O290" s="94">
        <f t="shared" si="62"/>
        <v>0</v>
      </c>
      <c r="P290" s="106">
        <f t="shared" si="63"/>
        <v>0</v>
      </c>
      <c r="Q290" s="94">
        <f t="shared" si="52"/>
        <v>0</v>
      </c>
      <c r="R290" s="78">
        <f t="shared" si="53"/>
        <v>0</v>
      </c>
      <c r="S290" s="84">
        <f t="shared" si="54"/>
        <v>0</v>
      </c>
      <c r="T290"/>
      <c r="U290"/>
      <c r="V290"/>
    </row>
    <row r="291" spans="1:22" s="16" customFormat="1" ht="15" customHeight="1" outlineLevel="1" x14ac:dyDescent="0.45">
      <c r="A291"/>
      <c r="B291" s="75"/>
      <c r="C291" s="78"/>
      <c r="D291" s="105"/>
      <c r="E291" s="106"/>
      <c r="F291" s="71"/>
      <c r="G291" s="78">
        <f t="shared" si="64"/>
        <v>0</v>
      </c>
      <c r="H291" s="3">
        <f t="shared" si="55"/>
        <v>0</v>
      </c>
      <c r="I291" s="20">
        <f t="shared" si="56"/>
        <v>0</v>
      </c>
      <c r="J291" s="94">
        <f t="shared" si="57"/>
        <v>0</v>
      </c>
      <c r="K291" s="20">
        <f t="shared" si="58"/>
        <v>0</v>
      </c>
      <c r="L291" s="94">
        <f t="shared" si="59"/>
        <v>0</v>
      </c>
      <c r="M291" s="78">
        <f t="shared" si="60"/>
        <v>0</v>
      </c>
      <c r="N291" s="79">
        <f t="shared" si="61"/>
        <v>0</v>
      </c>
      <c r="O291" s="94">
        <f t="shared" si="62"/>
        <v>0</v>
      </c>
      <c r="P291" s="106">
        <f t="shared" si="63"/>
        <v>0</v>
      </c>
      <c r="Q291" s="94">
        <f t="shared" si="52"/>
        <v>0</v>
      </c>
      <c r="R291" s="78">
        <f t="shared" si="53"/>
        <v>0</v>
      </c>
      <c r="S291" s="84">
        <f t="shared" si="54"/>
        <v>0</v>
      </c>
      <c r="T291"/>
      <c r="U291"/>
      <c r="V291"/>
    </row>
    <row r="292" spans="1:22" s="16" customFormat="1" ht="15" customHeight="1" outlineLevel="1" x14ac:dyDescent="0.45">
      <c r="A292"/>
      <c r="B292" s="75"/>
      <c r="C292" s="78"/>
      <c r="D292" s="105"/>
      <c r="E292" s="106"/>
      <c r="F292" s="71"/>
      <c r="G292" s="78">
        <f t="shared" si="64"/>
        <v>0</v>
      </c>
      <c r="H292" s="3">
        <f t="shared" si="55"/>
        <v>0</v>
      </c>
      <c r="I292" s="20">
        <f t="shared" si="56"/>
        <v>0</v>
      </c>
      <c r="J292" s="94">
        <f t="shared" si="57"/>
        <v>0</v>
      </c>
      <c r="K292" s="20">
        <f t="shared" si="58"/>
        <v>0</v>
      </c>
      <c r="L292" s="94">
        <f t="shared" si="59"/>
        <v>0</v>
      </c>
      <c r="M292" s="78">
        <f t="shared" si="60"/>
        <v>0</v>
      </c>
      <c r="N292" s="79">
        <f t="shared" si="61"/>
        <v>0</v>
      </c>
      <c r="O292" s="94">
        <f t="shared" si="62"/>
        <v>0</v>
      </c>
      <c r="P292" s="106">
        <f t="shared" si="63"/>
        <v>0</v>
      </c>
      <c r="Q292" s="94">
        <f t="shared" si="52"/>
        <v>0</v>
      </c>
      <c r="R292" s="78">
        <f t="shared" si="53"/>
        <v>0</v>
      </c>
      <c r="S292" s="84">
        <f t="shared" si="54"/>
        <v>0</v>
      </c>
      <c r="T292"/>
      <c r="U292"/>
      <c r="V292"/>
    </row>
    <row r="293" spans="1:22" s="16" customFormat="1" ht="15" customHeight="1" outlineLevel="1" x14ac:dyDescent="0.45">
      <c r="A293"/>
      <c r="B293" s="75"/>
      <c r="C293" s="78"/>
      <c r="D293" s="105"/>
      <c r="E293" s="106"/>
      <c r="F293" s="71"/>
      <c r="G293" s="78">
        <f t="shared" si="64"/>
        <v>0</v>
      </c>
      <c r="H293" s="3">
        <f t="shared" si="55"/>
        <v>0</v>
      </c>
      <c r="I293" s="20">
        <f t="shared" si="56"/>
        <v>0</v>
      </c>
      <c r="J293" s="94">
        <f t="shared" si="57"/>
        <v>0</v>
      </c>
      <c r="K293" s="20">
        <f t="shared" si="58"/>
        <v>0</v>
      </c>
      <c r="L293" s="94">
        <f t="shared" si="59"/>
        <v>0</v>
      </c>
      <c r="M293" s="78">
        <f t="shared" si="60"/>
        <v>0</v>
      </c>
      <c r="N293" s="79">
        <f t="shared" si="61"/>
        <v>0</v>
      </c>
      <c r="O293" s="94">
        <f t="shared" si="62"/>
        <v>0</v>
      </c>
      <c r="P293" s="106">
        <f t="shared" si="63"/>
        <v>0</v>
      </c>
      <c r="Q293" s="94">
        <f t="shared" si="52"/>
        <v>0</v>
      </c>
      <c r="R293" s="78">
        <f t="shared" si="53"/>
        <v>0</v>
      </c>
      <c r="S293" s="84">
        <f t="shared" si="54"/>
        <v>0</v>
      </c>
      <c r="T293"/>
      <c r="U293"/>
      <c r="V293"/>
    </row>
    <row r="294" spans="1:22" s="16" customFormat="1" ht="15" customHeight="1" outlineLevel="1" x14ac:dyDescent="0.45">
      <c r="A294"/>
      <c r="B294" s="75"/>
      <c r="C294" s="78"/>
      <c r="D294" s="105"/>
      <c r="E294" s="106"/>
      <c r="F294" s="71"/>
      <c r="G294" s="78">
        <f t="shared" si="64"/>
        <v>0</v>
      </c>
      <c r="H294" s="3">
        <f t="shared" si="55"/>
        <v>0</v>
      </c>
      <c r="I294" s="20">
        <f t="shared" si="56"/>
        <v>0</v>
      </c>
      <c r="J294" s="94">
        <f t="shared" si="57"/>
        <v>0</v>
      </c>
      <c r="K294" s="20">
        <f t="shared" si="58"/>
        <v>0</v>
      </c>
      <c r="L294" s="94">
        <f t="shared" si="59"/>
        <v>0</v>
      </c>
      <c r="M294" s="78">
        <f t="shared" si="60"/>
        <v>0</v>
      </c>
      <c r="N294" s="79">
        <f t="shared" si="61"/>
        <v>0</v>
      </c>
      <c r="O294" s="94">
        <f t="shared" si="62"/>
        <v>0</v>
      </c>
      <c r="P294" s="106">
        <f t="shared" si="63"/>
        <v>0</v>
      </c>
      <c r="Q294" s="94">
        <f t="shared" si="52"/>
        <v>0</v>
      </c>
      <c r="R294" s="78">
        <f t="shared" si="53"/>
        <v>0</v>
      </c>
      <c r="S294" s="84">
        <f t="shared" si="54"/>
        <v>0</v>
      </c>
      <c r="T294"/>
      <c r="U294"/>
      <c r="V294"/>
    </row>
    <row r="295" spans="1:22" s="16" customFormat="1" ht="15" customHeight="1" outlineLevel="1" x14ac:dyDescent="0.45">
      <c r="A295"/>
      <c r="B295" s="75"/>
      <c r="C295" s="78"/>
      <c r="D295" s="105"/>
      <c r="E295" s="106"/>
      <c r="F295" s="71"/>
      <c r="G295" s="78">
        <f t="shared" si="64"/>
        <v>0</v>
      </c>
      <c r="H295" s="3">
        <f t="shared" si="55"/>
        <v>0</v>
      </c>
      <c r="I295" s="20">
        <f t="shared" si="56"/>
        <v>0</v>
      </c>
      <c r="J295" s="94">
        <f t="shared" si="57"/>
        <v>0</v>
      </c>
      <c r="K295" s="20">
        <f t="shared" si="58"/>
        <v>0</v>
      </c>
      <c r="L295" s="94">
        <f t="shared" si="59"/>
        <v>0</v>
      </c>
      <c r="M295" s="78">
        <f t="shared" si="60"/>
        <v>0</v>
      </c>
      <c r="N295" s="79">
        <f t="shared" si="61"/>
        <v>0</v>
      </c>
      <c r="O295" s="94">
        <f t="shared" si="62"/>
        <v>0</v>
      </c>
      <c r="P295" s="106">
        <f t="shared" si="63"/>
        <v>0</v>
      </c>
      <c r="Q295" s="94">
        <f t="shared" si="52"/>
        <v>0</v>
      </c>
      <c r="R295" s="78">
        <f t="shared" si="53"/>
        <v>0</v>
      </c>
      <c r="S295" s="84">
        <f t="shared" si="54"/>
        <v>0</v>
      </c>
      <c r="T295"/>
      <c r="U295"/>
      <c r="V295"/>
    </row>
    <row r="296" spans="1:22" s="16" customFormat="1" ht="15" customHeight="1" outlineLevel="1" x14ac:dyDescent="0.45">
      <c r="A296"/>
      <c r="B296" s="75"/>
      <c r="C296" s="78"/>
      <c r="D296" s="105"/>
      <c r="E296" s="106"/>
      <c r="F296" s="71"/>
      <c r="G296" s="78">
        <f t="shared" si="64"/>
        <v>0</v>
      </c>
      <c r="H296" s="3">
        <f t="shared" si="55"/>
        <v>0</v>
      </c>
      <c r="I296" s="20">
        <f t="shared" si="56"/>
        <v>0</v>
      </c>
      <c r="J296" s="94">
        <f t="shared" si="57"/>
        <v>0</v>
      </c>
      <c r="K296" s="20">
        <f t="shared" si="58"/>
        <v>0</v>
      </c>
      <c r="L296" s="94">
        <f t="shared" si="59"/>
        <v>0</v>
      </c>
      <c r="M296" s="78">
        <f t="shared" si="60"/>
        <v>0</v>
      </c>
      <c r="N296" s="79">
        <f t="shared" si="61"/>
        <v>0</v>
      </c>
      <c r="O296" s="94">
        <f t="shared" si="62"/>
        <v>0</v>
      </c>
      <c r="P296" s="106">
        <f t="shared" si="63"/>
        <v>0</v>
      </c>
      <c r="Q296" s="94">
        <f t="shared" si="52"/>
        <v>0</v>
      </c>
      <c r="R296" s="78">
        <f t="shared" si="53"/>
        <v>0</v>
      </c>
      <c r="S296" s="84">
        <f t="shared" si="54"/>
        <v>0</v>
      </c>
      <c r="T296"/>
      <c r="U296"/>
      <c r="V296"/>
    </row>
    <row r="297" spans="1:22" s="16" customFormat="1" ht="15" customHeight="1" outlineLevel="1" x14ac:dyDescent="0.45">
      <c r="A297"/>
      <c r="B297" s="75"/>
      <c r="C297" s="78"/>
      <c r="D297" s="105"/>
      <c r="E297" s="106"/>
      <c r="F297" s="71"/>
      <c r="G297" s="78">
        <f t="shared" si="64"/>
        <v>0</v>
      </c>
      <c r="H297" s="3">
        <f t="shared" si="55"/>
        <v>0</v>
      </c>
      <c r="I297" s="20">
        <f t="shared" si="56"/>
        <v>0</v>
      </c>
      <c r="J297" s="94">
        <f t="shared" si="57"/>
        <v>0</v>
      </c>
      <c r="K297" s="20">
        <f t="shared" si="58"/>
        <v>0</v>
      </c>
      <c r="L297" s="94">
        <f t="shared" si="59"/>
        <v>0</v>
      </c>
      <c r="M297" s="78">
        <f t="shared" si="60"/>
        <v>0</v>
      </c>
      <c r="N297" s="79">
        <f t="shared" si="61"/>
        <v>0</v>
      </c>
      <c r="O297" s="94">
        <f t="shared" si="62"/>
        <v>0</v>
      </c>
      <c r="P297" s="106">
        <f t="shared" si="63"/>
        <v>0</v>
      </c>
      <c r="Q297" s="94">
        <f t="shared" si="52"/>
        <v>0</v>
      </c>
      <c r="R297" s="78">
        <f t="shared" si="53"/>
        <v>0</v>
      </c>
      <c r="S297" s="84">
        <f t="shared" si="54"/>
        <v>0</v>
      </c>
      <c r="T297"/>
      <c r="U297"/>
      <c r="V297"/>
    </row>
    <row r="298" spans="1:22" s="16" customFormat="1" ht="15" customHeight="1" outlineLevel="1" x14ac:dyDescent="0.45">
      <c r="A298"/>
      <c r="B298" s="75"/>
      <c r="C298" s="78"/>
      <c r="D298" s="105"/>
      <c r="E298" s="106"/>
      <c r="F298" s="71"/>
      <c r="G298" s="78">
        <f t="shared" si="64"/>
        <v>0</v>
      </c>
      <c r="H298" s="3">
        <f t="shared" si="55"/>
        <v>0</v>
      </c>
      <c r="I298" s="20">
        <f t="shared" si="56"/>
        <v>0</v>
      </c>
      <c r="J298" s="94">
        <f t="shared" si="57"/>
        <v>0</v>
      </c>
      <c r="K298" s="20">
        <f t="shared" si="58"/>
        <v>0</v>
      </c>
      <c r="L298" s="94">
        <f t="shared" si="59"/>
        <v>0</v>
      </c>
      <c r="M298" s="78">
        <f t="shared" si="60"/>
        <v>0</v>
      </c>
      <c r="N298" s="79">
        <f t="shared" si="61"/>
        <v>0</v>
      </c>
      <c r="O298" s="94">
        <f t="shared" si="62"/>
        <v>0</v>
      </c>
      <c r="P298" s="106">
        <f t="shared" si="63"/>
        <v>0</v>
      </c>
      <c r="Q298" s="94">
        <f t="shared" si="52"/>
        <v>0</v>
      </c>
      <c r="R298" s="78">
        <f t="shared" si="53"/>
        <v>0</v>
      </c>
      <c r="S298" s="84">
        <f t="shared" si="54"/>
        <v>0</v>
      </c>
      <c r="T298"/>
      <c r="U298"/>
      <c r="V298"/>
    </row>
    <row r="299" spans="1:22" s="16" customFormat="1" ht="15" customHeight="1" outlineLevel="1" x14ac:dyDescent="0.45">
      <c r="A299"/>
      <c r="B299" s="75"/>
      <c r="C299" s="78"/>
      <c r="D299" s="105"/>
      <c r="E299" s="106"/>
      <c r="F299" s="71"/>
      <c r="G299" s="78">
        <f t="shared" si="64"/>
        <v>0</v>
      </c>
      <c r="H299" s="3">
        <f t="shared" si="55"/>
        <v>0</v>
      </c>
      <c r="I299" s="20">
        <f t="shared" si="56"/>
        <v>0</v>
      </c>
      <c r="J299" s="94">
        <f t="shared" si="57"/>
        <v>0</v>
      </c>
      <c r="K299" s="20">
        <f t="shared" si="58"/>
        <v>0</v>
      </c>
      <c r="L299" s="94">
        <f t="shared" si="59"/>
        <v>0</v>
      </c>
      <c r="M299" s="78">
        <f t="shared" si="60"/>
        <v>0</v>
      </c>
      <c r="N299" s="79">
        <f t="shared" si="61"/>
        <v>0</v>
      </c>
      <c r="O299" s="94">
        <f t="shared" si="62"/>
        <v>0</v>
      </c>
      <c r="P299" s="106">
        <f t="shared" si="63"/>
        <v>0</v>
      </c>
      <c r="Q299" s="94">
        <f t="shared" si="52"/>
        <v>0</v>
      </c>
      <c r="R299" s="78">
        <f t="shared" si="53"/>
        <v>0</v>
      </c>
      <c r="S299" s="84">
        <f t="shared" si="54"/>
        <v>0</v>
      </c>
      <c r="T299"/>
      <c r="U299"/>
      <c r="V299"/>
    </row>
    <row r="300" spans="1:22" s="16" customFormat="1" ht="15" customHeight="1" outlineLevel="1" x14ac:dyDescent="0.45">
      <c r="A300"/>
      <c r="B300" s="75"/>
      <c r="C300" s="78"/>
      <c r="D300" s="105"/>
      <c r="E300" s="106"/>
      <c r="F300" s="71"/>
      <c r="G300" s="78">
        <f t="shared" si="64"/>
        <v>0</v>
      </c>
      <c r="H300" s="3">
        <f t="shared" si="55"/>
        <v>0</v>
      </c>
      <c r="I300" s="20">
        <f t="shared" si="56"/>
        <v>0</v>
      </c>
      <c r="J300" s="94">
        <f t="shared" si="57"/>
        <v>0</v>
      </c>
      <c r="K300" s="20">
        <f t="shared" si="58"/>
        <v>0</v>
      </c>
      <c r="L300" s="94">
        <f t="shared" si="59"/>
        <v>0</v>
      </c>
      <c r="M300" s="78">
        <f t="shared" si="60"/>
        <v>0</v>
      </c>
      <c r="N300" s="79">
        <f t="shared" si="61"/>
        <v>0</v>
      </c>
      <c r="O300" s="94">
        <f t="shared" si="62"/>
        <v>0</v>
      </c>
      <c r="P300" s="106">
        <f t="shared" si="63"/>
        <v>0</v>
      </c>
      <c r="Q300" s="94">
        <f t="shared" si="52"/>
        <v>0</v>
      </c>
      <c r="R300" s="78">
        <f t="shared" si="53"/>
        <v>0</v>
      </c>
      <c r="S300" s="84">
        <f t="shared" si="54"/>
        <v>0</v>
      </c>
      <c r="T300"/>
      <c r="U300"/>
      <c r="V300"/>
    </row>
    <row r="301" spans="1:22" s="16" customFormat="1" ht="15" customHeight="1" outlineLevel="1" x14ac:dyDescent="0.45">
      <c r="A301"/>
      <c r="B301" s="75"/>
      <c r="C301" s="78"/>
      <c r="D301" s="105"/>
      <c r="E301" s="106"/>
      <c r="F301" s="71"/>
      <c r="G301" s="78">
        <f t="shared" si="64"/>
        <v>0</v>
      </c>
      <c r="H301" s="3">
        <f t="shared" si="55"/>
        <v>0</v>
      </c>
      <c r="I301" s="20">
        <f t="shared" si="56"/>
        <v>0</v>
      </c>
      <c r="J301" s="94">
        <f t="shared" si="57"/>
        <v>0</v>
      </c>
      <c r="K301" s="20">
        <f t="shared" si="58"/>
        <v>0</v>
      </c>
      <c r="L301" s="94">
        <f t="shared" si="59"/>
        <v>0</v>
      </c>
      <c r="M301" s="78">
        <f t="shared" si="60"/>
        <v>0</v>
      </c>
      <c r="N301" s="79">
        <f t="shared" si="61"/>
        <v>0</v>
      </c>
      <c r="O301" s="94">
        <f t="shared" si="62"/>
        <v>0</v>
      </c>
      <c r="P301" s="106">
        <f t="shared" si="63"/>
        <v>0</v>
      </c>
      <c r="Q301" s="94">
        <f t="shared" si="52"/>
        <v>0</v>
      </c>
      <c r="R301" s="78">
        <f t="shared" si="53"/>
        <v>0</v>
      </c>
      <c r="S301" s="84">
        <f t="shared" si="54"/>
        <v>0</v>
      </c>
      <c r="T301"/>
      <c r="U301"/>
      <c r="V301"/>
    </row>
    <row r="302" spans="1:22" s="16" customFormat="1" ht="15" customHeight="1" outlineLevel="1" x14ac:dyDescent="0.45">
      <c r="A302"/>
      <c r="B302" s="75"/>
      <c r="C302" s="78"/>
      <c r="D302" s="105"/>
      <c r="E302" s="106"/>
      <c r="F302" s="71"/>
      <c r="G302" s="78">
        <f t="shared" si="64"/>
        <v>0</v>
      </c>
      <c r="H302" s="3">
        <f t="shared" si="55"/>
        <v>0</v>
      </c>
      <c r="I302" s="20">
        <f t="shared" si="56"/>
        <v>0</v>
      </c>
      <c r="J302" s="94">
        <f t="shared" si="57"/>
        <v>0</v>
      </c>
      <c r="K302" s="20">
        <f t="shared" si="58"/>
        <v>0</v>
      </c>
      <c r="L302" s="94">
        <f t="shared" si="59"/>
        <v>0</v>
      </c>
      <c r="M302" s="78">
        <f t="shared" si="60"/>
        <v>0</v>
      </c>
      <c r="N302" s="79">
        <f t="shared" si="61"/>
        <v>0</v>
      </c>
      <c r="O302" s="94">
        <f t="shared" si="62"/>
        <v>0</v>
      </c>
      <c r="P302" s="106">
        <f t="shared" si="63"/>
        <v>0</v>
      </c>
      <c r="Q302" s="94">
        <f t="shared" si="52"/>
        <v>0</v>
      </c>
      <c r="R302" s="78">
        <f t="shared" si="53"/>
        <v>0</v>
      </c>
      <c r="S302" s="84">
        <f t="shared" si="54"/>
        <v>0</v>
      </c>
      <c r="T302"/>
      <c r="U302"/>
      <c r="V302"/>
    </row>
    <row r="303" spans="1:22" s="16" customFormat="1" ht="15" customHeight="1" outlineLevel="1" x14ac:dyDescent="0.45">
      <c r="A303"/>
      <c r="B303" s="75"/>
      <c r="C303" s="78"/>
      <c r="D303" s="105"/>
      <c r="E303" s="106"/>
      <c r="F303" s="71"/>
      <c r="G303" s="78">
        <f t="shared" si="64"/>
        <v>0</v>
      </c>
      <c r="H303" s="3">
        <f t="shared" si="55"/>
        <v>0</v>
      </c>
      <c r="I303" s="20">
        <f t="shared" si="56"/>
        <v>0</v>
      </c>
      <c r="J303" s="94">
        <f t="shared" si="57"/>
        <v>0</v>
      </c>
      <c r="K303" s="20">
        <f t="shared" si="58"/>
        <v>0</v>
      </c>
      <c r="L303" s="94">
        <f t="shared" si="59"/>
        <v>0</v>
      </c>
      <c r="M303" s="78">
        <f t="shared" si="60"/>
        <v>0</v>
      </c>
      <c r="N303" s="79">
        <f t="shared" si="61"/>
        <v>0</v>
      </c>
      <c r="O303" s="94">
        <f t="shared" si="62"/>
        <v>0</v>
      </c>
      <c r="P303" s="106">
        <f t="shared" si="63"/>
        <v>0</v>
      </c>
      <c r="Q303" s="94">
        <f t="shared" si="52"/>
        <v>0</v>
      </c>
      <c r="R303" s="78">
        <f t="shared" si="53"/>
        <v>0</v>
      </c>
      <c r="S303" s="84">
        <f t="shared" si="54"/>
        <v>0</v>
      </c>
      <c r="T303"/>
      <c r="U303"/>
      <c r="V303"/>
    </row>
    <row r="304" spans="1:22" s="16" customFormat="1" ht="15" customHeight="1" outlineLevel="1" x14ac:dyDescent="0.45">
      <c r="A304"/>
      <c r="B304" s="75"/>
      <c r="C304" s="78"/>
      <c r="D304" s="105"/>
      <c r="E304" s="106"/>
      <c r="F304" s="71"/>
      <c r="G304" s="78">
        <f t="shared" si="64"/>
        <v>0</v>
      </c>
      <c r="H304" s="3">
        <f t="shared" si="55"/>
        <v>0</v>
      </c>
      <c r="I304" s="20">
        <f t="shared" si="56"/>
        <v>0</v>
      </c>
      <c r="J304" s="94">
        <f t="shared" si="57"/>
        <v>0</v>
      </c>
      <c r="K304" s="20">
        <f t="shared" si="58"/>
        <v>0</v>
      </c>
      <c r="L304" s="94">
        <f t="shared" si="59"/>
        <v>0</v>
      </c>
      <c r="M304" s="78">
        <f t="shared" si="60"/>
        <v>0</v>
      </c>
      <c r="N304" s="79">
        <f t="shared" si="61"/>
        <v>0</v>
      </c>
      <c r="O304" s="94">
        <f t="shared" si="62"/>
        <v>0</v>
      </c>
      <c r="P304" s="106">
        <f t="shared" si="63"/>
        <v>0</v>
      </c>
      <c r="Q304" s="94">
        <f t="shared" si="52"/>
        <v>0</v>
      </c>
      <c r="R304" s="78">
        <f t="shared" si="53"/>
        <v>0</v>
      </c>
      <c r="S304" s="84">
        <f t="shared" si="54"/>
        <v>0</v>
      </c>
      <c r="T304"/>
      <c r="U304"/>
      <c r="V304"/>
    </row>
    <row r="305" spans="1:22" s="16" customFormat="1" ht="15" customHeight="1" outlineLevel="1" x14ac:dyDescent="0.45">
      <c r="A305"/>
      <c r="B305" s="75"/>
      <c r="C305" s="78"/>
      <c r="D305" s="105"/>
      <c r="E305" s="106"/>
      <c r="F305" s="71"/>
      <c r="G305" s="78">
        <f t="shared" si="64"/>
        <v>0</v>
      </c>
      <c r="H305" s="3">
        <f t="shared" si="55"/>
        <v>0</v>
      </c>
      <c r="I305" s="20">
        <f t="shared" si="56"/>
        <v>0</v>
      </c>
      <c r="J305" s="94">
        <f t="shared" si="57"/>
        <v>0</v>
      </c>
      <c r="K305" s="20">
        <f t="shared" si="58"/>
        <v>0</v>
      </c>
      <c r="L305" s="94">
        <f t="shared" si="59"/>
        <v>0</v>
      </c>
      <c r="M305" s="78">
        <f t="shared" si="60"/>
        <v>0</v>
      </c>
      <c r="N305" s="79">
        <f t="shared" si="61"/>
        <v>0</v>
      </c>
      <c r="O305" s="94">
        <f t="shared" si="62"/>
        <v>0</v>
      </c>
      <c r="P305" s="106">
        <f t="shared" si="63"/>
        <v>0</v>
      </c>
      <c r="Q305" s="94">
        <f t="shared" si="52"/>
        <v>0</v>
      </c>
      <c r="R305" s="78">
        <f t="shared" si="53"/>
        <v>0</v>
      </c>
      <c r="S305" s="84">
        <f t="shared" si="54"/>
        <v>0</v>
      </c>
      <c r="T305"/>
      <c r="U305"/>
      <c r="V305"/>
    </row>
    <row r="306" spans="1:22" s="16" customFormat="1" ht="15" customHeight="1" outlineLevel="1" x14ac:dyDescent="0.45">
      <c r="A306"/>
      <c r="B306" s="75"/>
      <c r="C306" s="78"/>
      <c r="D306" s="105"/>
      <c r="E306" s="106"/>
      <c r="F306" s="71"/>
      <c r="G306" s="78">
        <f t="shared" si="64"/>
        <v>0</v>
      </c>
      <c r="H306" s="3">
        <f t="shared" si="55"/>
        <v>0</v>
      </c>
      <c r="I306" s="20">
        <f t="shared" si="56"/>
        <v>0</v>
      </c>
      <c r="J306" s="94">
        <f t="shared" si="57"/>
        <v>0</v>
      </c>
      <c r="K306" s="20">
        <f t="shared" si="58"/>
        <v>0</v>
      </c>
      <c r="L306" s="94">
        <f t="shared" si="59"/>
        <v>0</v>
      </c>
      <c r="M306" s="78">
        <f t="shared" si="60"/>
        <v>0</v>
      </c>
      <c r="N306" s="79">
        <f t="shared" si="61"/>
        <v>0</v>
      </c>
      <c r="O306" s="94">
        <f t="shared" si="62"/>
        <v>0</v>
      </c>
      <c r="P306" s="106">
        <f t="shared" si="63"/>
        <v>0</v>
      </c>
      <c r="Q306" s="94">
        <f t="shared" si="52"/>
        <v>0</v>
      </c>
      <c r="R306" s="78">
        <f t="shared" si="53"/>
        <v>0</v>
      </c>
      <c r="S306" s="84">
        <f t="shared" si="54"/>
        <v>0</v>
      </c>
      <c r="T306"/>
      <c r="U306"/>
      <c r="V306"/>
    </row>
    <row r="307" spans="1:22" s="16" customFormat="1" ht="15" customHeight="1" outlineLevel="1" x14ac:dyDescent="0.45">
      <c r="A307"/>
      <c r="B307" s="75"/>
      <c r="C307" s="78"/>
      <c r="D307" s="105"/>
      <c r="E307" s="106"/>
      <c r="F307" s="71"/>
      <c r="G307" s="78">
        <f t="shared" si="64"/>
        <v>0</v>
      </c>
      <c r="H307" s="3">
        <f t="shared" si="55"/>
        <v>0</v>
      </c>
      <c r="I307" s="20">
        <f t="shared" si="56"/>
        <v>0</v>
      </c>
      <c r="J307" s="94">
        <f t="shared" si="57"/>
        <v>0</v>
      </c>
      <c r="K307" s="20">
        <f t="shared" si="58"/>
        <v>0</v>
      </c>
      <c r="L307" s="94">
        <f t="shared" si="59"/>
        <v>0</v>
      </c>
      <c r="M307" s="78">
        <f t="shared" si="60"/>
        <v>0</v>
      </c>
      <c r="N307" s="79">
        <f t="shared" si="61"/>
        <v>0</v>
      </c>
      <c r="O307" s="94">
        <f t="shared" si="62"/>
        <v>0</v>
      </c>
      <c r="P307" s="106">
        <f t="shared" si="63"/>
        <v>0</v>
      </c>
      <c r="Q307" s="94">
        <f t="shared" si="52"/>
        <v>0</v>
      </c>
      <c r="R307" s="78">
        <f t="shared" si="53"/>
        <v>0</v>
      </c>
      <c r="S307" s="84">
        <f t="shared" si="54"/>
        <v>0</v>
      </c>
      <c r="T307"/>
      <c r="U307"/>
      <c r="V307"/>
    </row>
    <row r="308" spans="1:22" s="16" customFormat="1" ht="15" customHeight="1" outlineLevel="1" x14ac:dyDescent="0.45">
      <c r="A308"/>
      <c r="B308" s="75"/>
      <c r="C308" s="78"/>
      <c r="D308" s="105"/>
      <c r="E308" s="106"/>
      <c r="F308" s="71"/>
      <c r="G308" s="78">
        <f t="shared" si="64"/>
        <v>0</v>
      </c>
      <c r="H308" s="3">
        <f t="shared" si="55"/>
        <v>0</v>
      </c>
      <c r="I308" s="20">
        <f t="shared" si="56"/>
        <v>0</v>
      </c>
      <c r="J308" s="94">
        <f t="shared" si="57"/>
        <v>0</v>
      </c>
      <c r="K308" s="20">
        <f t="shared" si="58"/>
        <v>0</v>
      </c>
      <c r="L308" s="94">
        <f t="shared" si="59"/>
        <v>0</v>
      </c>
      <c r="M308" s="78">
        <f t="shared" si="60"/>
        <v>0</v>
      </c>
      <c r="N308" s="79">
        <f t="shared" si="61"/>
        <v>0</v>
      </c>
      <c r="O308" s="94">
        <f t="shared" si="62"/>
        <v>0</v>
      </c>
      <c r="P308" s="106">
        <f t="shared" si="63"/>
        <v>0</v>
      </c>
      <c r="Q308" s="94">
        <f t="shared" si="52"/>
        <v>0</v>
      </c>
      <c r="R308" s="78">
        <f t="shared" si="53"/>
        <v>0</v>
      </c>
      <c r="S308" s="84">
        <f t="shared" si="54"/>
        <v>0</v>
      </c>
      <c r="T308"/>
      <c r="U308"/>
      <c r="V308"/>
    </row>
    <row r="309" spans="1:22" s="16" customFormat="1" ht="15" customHeight="1" outlineLevel="1" x14ac:dyDescent="0.45">
      <c r="A309"/>
      <c r="B309" s="75"/>
      <c r="C309" s="78"/>
      <c r="D309" s="105"/>
      <c r="E309" s="106"/>
      <c r="F309" s="71"/>
      <c r="G309" s="78">
        <f t="shared" si="64"/>
        <v>0</v>
      </c>
      <c r="H309" s="3">
        <f t="shared" si="55"/>
        <v>0</v>
      </c>
      <c r="I309" s="20">
        <f t="shared" si="56"/>
        <v>0</v>
      </c>
      <c r="J309" s="94">
        <f t="shared" si="57"/>
        <v>0</v>
      </c>
      <c r="K309" s="20">
        <f t="shared" si="58"/>
        <v>0</v>
      </c>
      <c r="L309" s="94">
        <f t="shared" si="59"/>
        <v>0</v>
      </c>
      <c r="M309" s="78">
        <f t="shared" si="60"/>
        <v>0</v>
      </c>
      <c r="N309" s="79">
        <f t="shared" si="61"/>
        <v>0</v>
      </c>
      <c r="O309" s="94">
        <f t="shared" si="62"/>
        <v>0</v>
      </c>
      <c r="P309" s="106">
        <f t="shared" si="63"/>
        <v>0</v>
      </c>
      <c r="Q309" s="94">
        <f t="shared" si="52"/>
        <v>0</v>
      </c>
      <c r="R309" s="78">
        <f t="shared" si="53"/>
        <v>0</v>
      </c>
      <c r="S309" s="84">
        <f t="shared" si="54"/>
        <v>0</v>
      </c>
      <c r="T309"/>
      <c r="U309"/>
      <c r="V309"/>
    </row>
    <row r="310" spans="1:22" s="16" customFormat="1" ht="15" customHeight="1" outlineLevel="1" x14ac:dyDescent="0.45">
      <c r="A310"/>
      <c r="B310" s="75"/>
      <c r="C310" s="78"/>
      <c r="D310" s="105"/>
      <c r="E310" s="106"/>
      <c r="F310" s="71"/>
      <c r="G310" s="78">
        <f t="shared" si="64"/>
        <v>0</v>
      </c>
      <c r="H310" s="3">
        <f t="shared" si="55"/>
        <v>0</v>
      </c>
      <c r="I310" s="20">
        <f t="shared" si="56"/>
        <v>0</v>
      </c>
      <c r="J310" s="94">
        <f t="shared" si="57"/>
        <v>0</v>
      </c>
      <c r="K310" s="20">
        <f t="shared" si="58"/>
        <v>0</v>
      </c>
      <c r="L310" s="94">
        <f t="shared" si="59"/>
        <v>0</v>
      </c>
      <c r="M310" s="78">
        <f t="shared" si="60"/>
        <v>0</v>
      </c>
      <c r="N310" s="79">
        <f t="shared" si="61"/>
        <v>0</v>
      </c>
      <c r="O310" s="94">
        <f t="shared" si="62"/>
        <v>0</v>
      </c>
      <c r="P310" s="106">
        <f t="shared" si="63"/>
        <v>0</v>
      </c>
      <c r="Q310" s="94">
        <f t="shared" si="52"/>
        <v>0</v>
      </c>
      <c r="R310" s="78">
        <f t="shared" si="53"/>
        <v>0</v>
      </c>
      <c r="S310" s="84">
        <f t="shared" si="54"/>
        <v>0</v>
      </c>
      <c r="T310"/>
      <c r="U310"/>
      <c r="V310"/>
    </row>
    <row r="311" spans="1:22" s="16" customFormat="1" ht="15" customHeight="1" outlineLevel="1" x14ac:dyDescent="0.45">
      <c r="A311"/>
      <c r="B311" s="75"/>
      <c r="C311" s="78"/>
      <c r="D311" s="105"/>
      <c r="E311" s="106"/>
      <c r="F311" s="71"/>
      <c r="G311" s="78">
        <f t="shared" si="64"/>
        <v>0</v>
      </c>
      <c r="H311" s="3">
        <f t="shared" si="55"/>
        <v>0</v>
      </c>
      <c r="I311" s="20">
        <f t="shared" si="56"/>
        <v>0</v>
      </c>
      <c r="J311" s="94">
        <f t="shared" si="57"/>
        <v>0</v>
      </c>
      <c r="K311" s="20">
        <f t="shared" si="58"/>
        <v>0</v>
      </c>
      <c r="L311" s="94">
        <f t="shared" si="59"/>
        <v>0</v>
      </c>
      <c r="M311" s="78">
        <f t="shared" si="60"/>
        <v>0</v>
      </c>
      <c r="N311" s="79">
        <f t="shared" si="61"/>
        <v>0</v>
      </c>
      <c r="O311" s="94">
        <f t="shared" si="62"/>
        <v>0</v>
      </c>
      <c r="P311" s="106">
        <f t="shared" si="63"/>
        <v>0</v>
      </c>
      <c r="Q311" s="94">
        <f t="shared" si="52"/>
        <v>0</v>
      </c>
      <c r="R311" s="78">
        <f t="shared" si="53"/>
        <v>0</v>
      </c>
      <c r="S311" s="84">
        <f t="shared" si="54"/>
        <v>0</v>
      </c>
      <c r="T311"/>
      <c r="U311"/>
      <c r="V311"/>
    </row>
    <row r="312" spans="1:22" s="16" customFormat="1" ht="15" customHeight="1" outlineLevel="1" x14ac:dyDescent="0.45">
      <c r="A312"/>
      <c r="B312" s="75"/>
      <c r="C312" s="78"/>
      <c r="D312" s="105"/>
      <c r="E312" s="106"/>
      <c r="F312" s="71"/>
      <c r="G312" s="78">
        <f t="shared" si="64"/>
        <v>0</v>
      </c>
      <c r="H312" s="3">
        <f t="shared" si="55"/>
        <v>0</v>
      </c>
      <c r="I312" s="20">
        <f t="shared" si="56"/>
        <v>0</v>
      </c>
      <c r="J312" s="94">
        <f t="shared" si="57"/>
        <v>0</v>
      </c>
      <c r="K312" s="20">
        <f t="shared" si="58"/>
        <v>0</v>
      </c>
      <c r="L312" s="94">
        <f t="shared" si="59"/>
        <v>0</v>
      </c>
      <c r="M312" s="78">
        <f t="shared" si="60"/>
        <v>0</v>
      </c>
      <c r="N312" s="79">
        <f t="shared" si="61"/>
        <v>0</v>
      </c>
      <c r="O312" s="94">
        <f t="shared" si="62"/>
        <v>0</v>
      </c>
      <c r="P312" s="106">
        <f t="shared" si="63"/>
        <v>0</v>
      </c>
      <c r="Q312" s="94">
        <f t="shared" si="52"/>
        <v>0</v>
      </c>
      <c r="R312" s="78">
        <f t="shared" si="53"/>
        <v>0</v>
      </c>
      <c r="S312" s="84">
        <f t="shared" si="54"/>
        <v>0</v>
      </c>
      <c r="T312"/>
      <c r="U312"/>
      <c r="V312"/>
    </row>
    <row r="313" spans="1:22" s="16" customFormat="1" ht="15" customHeight="1" outlineLevel="1" x14ac:dyDescent="0.45">
      <c r="A313"/>
      <c r="B313" s="75"/>
      <c r="C313" s="78"/>
      <c r="D313" s="105"/>
      <c r="E313" s="106"/>
      <c r="F313" s="71"/>
      <c r="G313" s="78">
        <f t="shared" si="64"/>
        <v>0</v>
      </c>
      <c r="H313" s="3">
        <f t="shared" si="55"/>
        <v>0</v>
      </c>
      <c r="I313" s="20">
        <f t="shared" si="56"/>
        <v>0</v>
      </c>
      <c r="J313" s="94">
        <f t="shared" si="57"/>
        <v>0</v>
      </c>
      <c r="K313" s="20">
        <f t="shared" si="58"/>
        <v>0</v>
      </c>
      <c r="L313" s="94">
        <f t="shared" si="59"/>
        <v>0</v>
      </c>
      <c r="M313" s="78">
        <f t="shared" si="60"/>
        <v>0</v>
      </c>
      <c r="N313" s="79">
        <f t="shared" si="61"/>
        <v>0</v>
      </c>
      <c r="O313" s="94">
        <f t="shared" si="62"/>
        <v>0</v>
      </c>
      <c r="P313" s="106">
        <f t="shared" si="63"/>
        <v>0</v>
      </c>
      <c r="Q313" s="94">
        <f t="shared" si="52"/>
        <v>0</v>
      </c>
      <c r="R313" s="78">
        <f t="shared" si="53"/>
        <v>0</v>
      </c>
      <c r="S313" s="84">
        <f t="shared" si="54"/>
        <v>0</v>
      </c>
      <c r="T313"/>
      <c r="U313"/>
      <c r="V313"/>
    </row>
    <row r="314" spans="1:22" s="16" customFormat="1" ht="15" customHeight="1" outlineLevel="1" x14ac:dyDescent="0.45">
      <c r="A314"/>
      <c r="B314" s="75"/>
      <c r="C314" s="78"/>
      <c r="D314" s="105"/>
      <c r="E314" s="106"/>
      <c r="F314" s="71"/>
      <c r="G314" s="78">
        <f t="shared" si="64"/>
        <v>0</v>
      </c>
      <c r="H314" s="3">
        <f t="shared" si="55"/>
        <v>0</v>
      </c>
      <c r="I314" s="20">
        <f t="shared" si="56"/>
        <v>0</v>
      </c>
      <c r="J314" s="94">
        <f t="shared" si="57"/>
        <v>0</v>
      </c>
      <c r="K314" s="20">
        <f t="shared" si="58"/>
        <v>0</v>
      </c>
      <c r="L314" s="94">
        <f t="shared" si="59"/>
        <v>0</v>
      </c>
      <c r="M314" s="78">
        <f t="shared" si="60"/>
        <v>0</v>
      </c>
      <c r="N314" s="79">
        <f t="shared" si="61"/>
        <v>0</v>
      </c>
      <c r="O314" s="94">
        <f t="shared" si="62"/>
        <v>0</v>
      </c>
      <c r="P314" s="106">
        <f t="shared" si="63"/>
        <v>0</v>
      </c>
      <c r="Q314" s="94">
        <f t="shared" si="52"/>
        <v>0</v>
      </c>
      <c r="R314" s="78">
        <f t="shared" si="53"/>
        <v>0</v>
      </c>
      <c r="S314" s="84">
        <f t="shared" si="54"/>
        <v>0</v>
      </c>
      <c r="T314"/>
      <c r="U314"/>
      <c r="V314"/>
    </row>
    <row r="315" spans="1:22" s="16" customFormat="1" ht="15" customHeight="1" outlineLevel="1" x14ac:dyDescent="0.45">
      <c r="A315"/>
      <c r="B315" s="75"/>
      <c r="C315" s="78"/>
      <c r="D315" s="105"/>
      <c r="E315" s="106"/>
      <c r="F315" s="71"/>
      <c r="G315" s="78">
        <f t="shared" si="64"/>
        <v>0</v>
      </c>
      <c r="H315" s="3">
        <f t="shared" si="55"/>
        <v>0</v>
      </c>
      <c r="I315" s="20">
        <f t="shared" si="56"/>
        <v>0</v>
      </c>
      <c r="J315" s="94">
        <f t="shared" si="57"/>
        <v>0</v>
      </c>
      <c r="K315" s="20">
        <f t="shared" si="58"/>
        <v>0</v>
      </c>
      <c r="L315" s="94">
        <f t="shared" si="59"/>
        <v>0</v>
      </c>
      <c r="M315" s="78">
        <f t="shared" si="60"/>
        <v>0</v>
      </c>
      <c r="N315" s="79">
        <f t="shared" si="61"/>
        <v>0</v>
      </c>
      <c r="O315" s="94">
        <f t="shared" si="62"/>
        <v>0</v>
      </c>
      <c r="P315" s="106">
        <f t="shared" si="63"/>
        <v>0</v>
      </c>
      <c r="Q315" s="94">
        <f t="shared" si="52"/>
        <v>0</v>
      </c>
      <c r="R315" s="78">
        <f t="shared" si="53"/>
        <v>0</v>
      </c>
      <c r="S315" s="84">
        <f t="shared" si="54"/>
        <v>0</v>
      </c>
      <c r="T315"/>
      <c r="U315"/>
      <c r="V315"/>
    </row>
    <row r="316" spans="1:22" s="16" customFormat="1" ht="15" customHeight="1" outlineLevel="1" x14ac:dyDescent="0.45">
      <c r="A316"/>
      <c r="B316" s="75"/>
      <c r="C316" s="78"/>
      <c r="D316" s="105"/>
      <c r="E316" s="106"/>
      <c r="F316" s="71"/>
      <c r="G316" s="78">
        <f t="shared" si="64"/>
        <v>0</v>
      </c>
      <c r="H316" s="3">
        <f t="shared" si="55"/>
        <v>0</v>
      </c>
      <c r="I316" s="20">
        <f t="shared" si="56"/>
        <v>0</v>
      </c>
      <c r="J316" s="94">
        <f t="shared" si="57"/>
        <v>0</v>
      </c>
      <c r="K316" s="20">
        <f t="shared" si="58"/>
        <v>0</v>
      </c>
      <c r="L316" s="94">
        <f t="shared" si="59"/>
        <v>0</v>
      </c>
      <c r="M316" s="78">
        <f t="shared" si="60"/>
        <v>0</v>
      </c>
      <c r="N316" s="79">
        <f t="shared" si="61"/>
        <v>0</v>
      </c>
      <c r="O316" s="94">
        <f t="shared" si="62"/>
        <v>0</v>
      </c>
      <c r="P316" s="106">
        <f t="shared" si="63"/>
        <v>0</v>
      </c>
      <c r="Q316" s="94">
        <f t="shared" si="52"/>
        <v>0</v>
      </c>
      <c r="R316" s="78">
        <f t="shared" si="53"/>
        <v>0</v>
      </c>
      <c r="S316" s="84">
        <f t="shared" si="54"/>
        <v>0</v>
      </c>
      <c r="T316"/>
      <c r="U316"/>
      <c r="V316"/>
    </row>
    <row r="317" spans="1:22" s="16" customFormat="1" ht="15" customHeight="1" outlineLevel="1" x14ac:dyDescent="0.45">
      <c r="A317"/>
      <c r="B317" s="75"/>
      <c r="C317" s="78"/>
      <c r="D317" s="105"/>
      <c r="E317" s="106"/>
      <c r="F317" s="71"/>
      <c r="G317" s="78">
        <f t="shared" si="64"/>
        <v>0</v>
      </c>
      <c r="H317" s="3">
        <f t="shared" si="55"/>
        <v>0</v>
      </c>
      <c r="I317" s="20">
        <f t="shared" si="56"/>
        <v>0</v>
      </c>
      <c r="J317" s="94">
        <f t="shared" si="57"/>
        <v>0</v>
      </c>
      <c r="K317" s="20">
        <f t="shared" si="58"/>
        <v>0</v>
      </c>
      <c r="L317" s="94">
        <f t="shared" si="59"/>
        <v>0</v>
      </c>
      <c r="M317" s="78">
        <f t="shared" si="60"/>
        <v>0</v>
      </c>
      <c r="N317" s="79">
        <f t="shared" si="61"/>
        <v>0</v>
      </c>
      <c r="O317" s="94">
        <f t="shared" si="62"/>
        <v>0</v>
      </c>
      <c r="P317" s="106">
        <f t="shared" si="63"/>
        <v>0</v>
      </c>
      <c r="Q317" s="94">
        <f t="shared" si="52"/>
        <v>0</v>
      </c>
      <c r="R317" s="78">
        <f t="shared" si="53"/>
        <v>0</v>
      </c>
      <c r="S317" s="84">
        <f t="shared" si="54"/>
        <v>0</v>
      </c>
      <c r="T317"/>
      <c r="U317"/>
      <c r="V317"/>
    </row>
    <row r="318" spans="1:22" s="16" customFormat="1" ht="15" customHeight="1" outlineLevel="1" x14ac:dyDescent="0.45">
      <c r="A318"/>
      <c r="B318" s="75"/>
      <c r="C318" s="78"/>
      <c r="D318" s="105"/>
      <c r="E318" s="106"/>
      <c r="F318" s="71"/>
      <c r="G318" s="78">
        <f t="shared" si="64"/>
        <v>0</v>
      </c>
      <c r="H318" s="3">
        <f t="shared" si="55"/>
        <v>0</v>
      </c>
      <c r="I318" s="20">
        <f t="shared" si="56"/>
        <v>0</v>
      </c>
      <c r="J318" s="94">
        <f t="shared" si="57"/>
        <v>0</v>
      </c>
      <c r="K318" s="20">
        <f t="shared" si="58"/>
        <v>0</v>
      </c>
      <c r="L318" s="94">
        <f t="shared" si="59"/>
        <v>0</v>
      </c>
      <c r="M318" s="78">
        <f t="shared" si="60"/>
        <v>0</v>
      </c>
      <c r="N318" s="79">
        <f t="shared" si="61"/>
        <v>0</v>
      </c>
      <c r="O318" s="94">
        <f t="shared" si="62"/>
        <v>0</v>
      </c>
      <c r="P318" s="106">
        <f t="shared" si="63"/>
        <v>0</v>
      </c>
      <c r="Q318" s="94">
        <f t="shared" si="52"/>
        <v>0</v>
      </c>
      <c r="R318" s="78">
        <f t="shared" si="53"/>
        <v>0</v>
      </c>
      <c r="S318" s="84">
        <f t="shared" si="54"/>
        <v>0</v>
      </c>
      <c r="T318"/>
      <c r="U318"/>
      <c r="V318"/>
    </row>
    <row r="319" spans="1:22" s="16" customFormat="1" ht="15" customHeight="1" outlineLevel="1" x14ac:dyDescent="0.45">
      <c r="A319"/>
      <c r="B319" s="75"/>
      <c r="C319" s="78"/>
      <c r="D319" s="105"/>
      <c r="E319" s="106"/>
      <c r="F319" s="71"/>
      <c r="G319" s="78">
        <f t="shared" si="64"/>
        <v>0</v>
      </c>
      <c r="H319" s="3">
        <f t="shared" si="55"/>
        <v>0</v>
      </c>
      <c r="I319" s="20">
        <f t="shared" si="56"/>
        <v>0</v>
      </c>
      <c r="J319" s="94">
        <f t="shared" si="57"/>
        <v>0</v>
      </c>
      <c r="K319" s="20">
        <f t="shared" si="58"/>
        <v>0</v>
      </c>
      <c r="L319" s="94">
        <f t="shared" si="59"/>
        <v>0</v>
      </c>
      <c r="M319" s="78">
        <f t="shared" si="60"/>
        <v>0</v>
      </c>
      <c r="N319" s="79">
        <f t="shared" si="61"/>
        <v>0</v>
      </c>
      <c r="O319" s="94">
        <f t="shared" si="62"/>
        <v>0</v>
      </c>
      <c r="P319" s="106">
        <f t="shared" si="63"/>
        <v>0</v>
      </c>
      <c r="Q319" s="94">
        <f t="shared" si="52"/>
        <v>0</v>
      </c>
      <c r="R319" s="78">
        <f t="shared" si="53"/>
        <v>0</v>
      </c>
      <c r="S319" s="84">
        <f t="shared" si="54"/>
        <v>0</v>
      </c>
      <c r="T319"/>
      <c r="U319"/>
      <c r="V319"/>
    </row>
    <row r="320" spans="1:22" s="16" customFormat="1" ht="15" customHeight="1" outlineLevel="1" x14ac:dyDescent="0.45">
      <c r="A320"/>
      <c r="B320" s="75"/>
      <c r="C320" s="78"/>
      <c r="D320" s="105"/>
      <c r="E320" s="106"/>
      <c r="F320" s="71"/>
      <c r="G320" s="78">
        <f t="shared" si="64"/>
        <v>0</v>
      </c>
      <c r="H320" s="3">
        <f t="shared" si="55"/>
        <v>0</v>
      </c>
      <c r="I320" s="20">
        <f t="shared" si="56"/>
        <v>0</v>
      </c>
      <c r="J320" s="94">
        <f t="shared" si="57"/>
        <v>0</v>
      </c>
      <c r="K320" s="20">
        <f t="shared" si="58"/>
        <v>0</v>
      </c>
      <c r="L320" s="94">
        <f t="shared" si="59"/>
        <v>0</v>
      </c>
      <c r="M320" s="78">
        <f t="shared" si="60"/>
        <v>0</v>
      </c>
      <c r="N320" s="79">
        <f t="shared" si="61"/>
        <v>0</v>
      </c>
      <c r="O320" s="94">
        <f t="shared" si="62"/>
        <v>0</v>
      </c>
      <c r="P320" s="106">
        <f t="shared" si="63"/>
        <v>0</v>
      </c>
      <c r="Q320" s="94">
        <f t="shared" si="52"/>
        <v>0</v>
      </c>
      <c r="R320" s="78">
        <f t="shared" si="53"/>
        <v>0</v>
      </c>
      <c r="S320" s="84">
        <f t="shared" si="54"/>
        <v>0</v>
      </c>
      <c r="T320"/>
      <c r="U320"/>
      <c r="V320"/>
    </row>
    <row r="321" spans="1:22" s="16" customFormat="1" ht="15" customHeight="1" outlineLevel="1" x14ac:dyDescent="0.45">
      <c r="A321"/>
      <c r="B321" s="75"/>
      <c r="C321" s="78"/>
      <c r="D321" s="105"/>
      <c r="E321" s="106"/>
      <c r="F321" s="71"/>
      <c r="G321" s="78">
        <f t="shared" si="64"/>
        <v>0</v>
      </c>
      <c r="H321" s="3">
        <f t="shared" si="55"/>
        <v>0</v>
      </c>
      <c r="I321" s="20">
        <f t="shared" si="56"/>
        <v>0</v>
      </c>
      <c r="J321" s="94">
        <f t="shared" si="57"/>
        <v>0</v>
      </c>
      <c r="K321" s="20">
        <f t="shared" si="58"/>
        <v>0</v>
      </c>
      <c r="L321" s="94">
        <f t="shared" si="59"/>
        <v>0</v>
      </c>
      <c r="M321" s="78">
        <f t="shared" si="60"/>
        <v>0</v>
      </c>
      <c r="N321" s="79">
        <f t="shared" si="61"/>
        <v>0</v>
      </c>
      <c r="O321" s="94">
        <f t="shared" si="62"/>
        <v>0</v>
      </c>
      <c r="P321" s="106">
        <f t="shared" si="63"/>
        <v>0</v>
      </c>
      <c r="Q321" s="94">
        <f t="shared" si="52"/>
        <v>0</v>
      </c>
      <c r="R321" s="78">
        <f t="shared" si="53"/>
        <v>0</v>
      </c>
      <c r="S321" s="84">
        <f t="shared" si="54"/>
        <v>0</v>
      </c>
      <c r="T321"/>
      <c r="U321"/>
      <c r="V321"/>
    </row>
    <row r="322" spans="1:22" s="16" customFormat="1" ht="15" customHeight="1" outlineLevel="1" x14ac:dyDescent="0.45">
      <c r="A322"/>
      <c r="B322" s="75"/>
      <c r="C322" s="78"/>
      <c r="D322" s="105"/>
      <c r="E322" s="106"/>
      <c r="F322" s="71"/>
      <c r="G322" s="78">
        <f t="shared" si="64"/>
        <v>0</v>
      </c>
      <c r="H322" s="3">
        <f t="shared" si="55"/>
        <v>0</v>
      </c>
      <c r="I322" s="20">
        <f t="shared" si="56"/>
        <v>0</v>
      </c>
      <c r="J322" s="94">
        <f t="shared" si="57"/>
        <v>0</v>
      </c>
      <c r="K322" s="20">
        <f t="shared" si="58"/>
        <v>0</v>
      </c>
      <c r="L322" s="94">
        <f t="shared" si="59"/>
        <v>0</v>
      </c>
      <c r="M322" s="78">
        <f t="shared" si="60"/>
        <v>0</v>
      </c>
      <c r="N322" s="79">
        <f t="shared" si="61"/>
        <v>0</v>
      </c>
      <c r="O322" s="94">
        <f t="shared" si="62"/>
        <v>0</v>
      </c>
      <c r="P322" s="106">
        <f t="shared" si="63"/>
        <v>0</v>
      </c>
      <c r="Q322" s="94">
        <f t="shared" si="52"/>
        <v>0</v>
      </c>
      <c r="R322" s="78">
        <f t="shared" si="53"/>
        <v>0</v>
      </c>
      <c r="S322" s="84">
        <f t="shared" si="54"/>
        <v>0</v>
      </c>
      <c r="T322"/>
      <c r="U322"/>
      <c r="V322"/>
    </row>
    <row r="323" spans="1:22" s="16" customFormat="1" ht="15" customHeight="1" outlineLevel="1" x14ac:dyDescent="0.45">
      <c r="A323"/>
      <c r="B323" s="75"/>
      <c r="C323" s="78"/>
      <c r="D323" s="105"/>
      <c r="E323" s="106"/>
      <c r="F323" s="71"/>
      <c r="G323" s="78">
        <f t="shared" si="64"/>
        <v>0</v>
      </c>
      <c r="H323" s="3">
        <f t="shared" si="55"/>
        <v>0</v>
      </c>
      <c r="I323" s="20">
        <f t="shared" si="56"/>
        <v>0</v>
      </c>
      <c r="J323" s="94">
        <f t="shared" si="57"/>
        <v>0</v>
      </c>
      <c r="K323" s="20">
        <f t="shared" si="58"/>
        <v>0</v>
      </c>
      <c r="L323" s="94">
        <f t="shared" si="59"/>
        <v>0</v>
      </c>
      <c r="M323" s="78">
        <f t="shared" si="60"/>
        <v>0</v>
      </c>
      <c r="N323" s="79">
        <f t="shared" si="61"/>
        <v>0</v>
      </c>
      <c r="O323" s="94">
        <f t="shared" si="62"/>
        <v>0</v>
      </c>
      <c r="P323" s="106">
        <f t="shared" si="63"/>
        <v>0</v>
      </c>
      <c r="Q323" s="94">
        <f t="shared" si="52"/>
        <v>0</v>
      </c>
      <c r="R323" s="78">
        <f t="shared" si="53"/>
        <v>0</v>
      </c>
      <c r="S323" s="84">
        <f t="shared" si="54"/>
        <v>0</v>
      </c>
      <c r="T323"/>
      <c r="U323"/>
      <c r="V323"/>
    </row>
    <row r="324" spans="1:22" s="16" customFormat="1" ht="15" customHeight="1" outlineLevel="1" x14ac:dyDescent="0.45">
      <c r="A324"/>
      <c r="B324" s="75"/>
      <c r="C324" s="78"/>
      <c r="D324" s="105"/>
      <c r="E324" s="106"/>
      <c r="F324" s="71"/>
      <c r="G324" s="78">
        <f t="shared" si="64"/>
        <v>0</v>
      </c>
      <c r="H324" s="3">
        <f t="shared" si="55"/>
        <v>0</v>
      </c>
      <c r="I324" s="20">
        <f t="shared" si="56"/>
        <v>0</v>
      </c>
      <c r="J324" s="94">
        <f t="shared" si="57"/>
        <v>0</v>
      </c>
      <c r="K324" s="20">
        <f t="shared" si="58"/>
        <v>0</v>
      </c>
      <c r="L324" s="94">
        <f t="shared" si="59"/>
        <v>0</v>
      </c>
      <c r="M324" s="78">
        <f t="shared" si="60"/>
        <v>0</v>
      </c>
      <c r="N324" s="79">
        <f t="shared" si="61"/>
        <v>0</v>
      </c>
      <c r="O324" s="94">
        <f t="shared" si="62"/>
        <v>0</v>
      </c>
      <c r="P324" s="106">
        <f t="shared" si="63"/>
        <v>0</v>
      </c>
      <c r="Q324" s="94">
        <f t="shared" si="52"/>
        <v>0</v>
      </c>
      <c r="R324" s="78">
        <f t="shared" si="53"/>
        <v>0</v>
      </c>
      <c r="S324" s="84">
        <f t="shared" si="54"/>
        <v>0</v>
      </c>
      <c r="T324"/>
      <c r="U324"/>
      <c r="V324"/>
    </row>
    <row r="325" spans="1:22" s="16" customFormat="1" ht="15" customHeight="1" outlineLevel="1" x14ac:dyDescent="0.45">
      <c r="A325"/>
      <c r="B325" s="75"/>
      <c r="C325" s="78"/>
      <c r="D325" s="105"/>
      <c r="E325" s="106"/>
      <c r="F325" s="71"/>
      <c r="G325" s="78">
        <f t="shared" si="64"/>
        <v>0</v>
      </c>
      <c r="H325" s="3">
        <f t="shared" si="55"/>
        <v>0</v>
      </c>
      <c r="I325" s="20">
        <f t="shared" si="56"/>
        <v>0</v>
      </c>
      <c r="J325" s="94">
        <f t="shared" si="57"/>
        <v>0</v>
      </c>
      <c r="K325" s="20">
        <f t="shared" si="58"/>
        <v>0</v>
      </c>
      <c r="L325" s="94">
        <f t="shared" si="59"/>
        <v>0</v>
      </c>
      <c r="M325" s="78">
        <f t="shared" si="60"/>
        <v>0</v>
      </c>
      <c r="N325" s="79">
        <f t="shared" si="61"/>
        <v>0</v>
      </c>
      <c r="O325" s="94">
        <f t="shared" si="62"/>
        <v>0</v>
      </c>
      <c r="P325" s="106">
        <f t="shared" si="63"/>
        <v>0</v>
      </c>
      <c r="Q325" s="94">
        <f t="shared" ref="Q325:Q363" si="65">+H325</f>
        <v>0</v>
      </c>
      <c r="R325" s="78">
        <f t="shared" ref="R325:R363" si="66">+L325</f>
        <v>0</v>
      </c>
      <c r="S325" s="84">
        <f t="shared" ref="S325:S363" si="67">+M325</f>
        <v>0</v>
      </c>
      <c r="T325"/>
      <c r="U325"/>
      <c r="V325"/>
    </row>
    <row r="326" spans="1:22" s="16" customFormat="1" ht="15" customHeight="1" outlineLevel="1" x14ac:dyDescent="0.45">
      <c r="A326"/>
      <c r="B326" s="75"/>
      <c r="C326" s="78"/>
      <c r="D326" s="105"/>
      <c r="E326" s="106"/>
      <c r="F326" s="71"/>
      <c r="G326" s="78">
        <f t="shared" si="64"/>
        <v>0</v>
      </c>
      <c r="H326" s="3">
        <f t="shared" ref="H326:H363" si="68">IF(D326&gt;0,D326,0)</f>
        <v>0</v>
      </c>
      <c r="I326" s="20">
        <f t="shared" ref="I326:I363" si="69">IF(D326="",0,-D326)</f>
        <v>0</v>
      </c>
      <c r="J326" s="94">
        <f t="shared" ref="J326:J363" si="70">IF(F326="",0,-F326)</f>
        <v>0</v>
      </c>
      <c r="K326" s="20">
        <f t="shared" ref="K326:K363" si="71">IF(AND(I326&gt;0,I326&lt;&gt;""),-I326-J326,IF(J326="",0,-J326))</f>
        <v>0</v>
      </c>
      <c r="L326" s="94">
        <f t="shared" ref="L326:L363" si="72">+C326</f>
        <v>0</v>
      </c>
      <c r="M326" s="78">
        <f t="shared" ref="M326:M363" si="73">-L326</f>
        <v>0</v>
      </c>
      <c r="N326" s="79">
        <f t="shared" ref="N326:N363" si="74">IFERROR(+D326+I326,0)</f>
        <v>0</v>
      </c>
      <c r="O326" s="94">
        <f t="shared" ref="O326:O363" si="75">IFERROR(+F326+J326,0)</f>
        <v>0</v>
      </c>
      <c r="P326" s="106">
        <f t="shared" ref="P326:P363" si="76">IFERROR(+K326+G326,0)</f>
        <v>0</v>
      </c>
      <c r="Q326" s="94">
        <f t="shared" si="65"/>
        <v>0</v>
      </c>
      <c r="R326" s="78">
        <f t="shared" si="66"/>
        <v>0</v>
      </c>
      <c r="S326" s="84">
        <f t="shared" si="67"/>
        <v>0</v>
      </c>
      <c r="T326"/>
      <c r="U326"/>
      <c r="V326"/>
    </row>
    <row r="327" spans="1:22" s="16" customFormat="1" ht="15" customHeight="1" outlineLevel="1" x14ac:dyDescent="0.45">
      <c r="A327"/>
      <c r="B327" s="75"/>
      <c r="C327" s="78"/>
      <c r="D327" s="105"/>
      <c r="E327" s="106"/>
      <c r="F327" s="71"/>
      <c r="G327" s="78">
        <f t="shared" ref="G327:G363" si="77">-SUM(-G326,C327:D327,F327)</f>
        <v>0</v>
      </c>
      <c r="H327" s="3">
        <f t="shared" si="68"/>
        <v>0</v>
      </c>
      <c r="I327" s="20">
        <f t="shared" si="69"/>
        <v>0</v>
      </c>
      <c r="J327" s="94">
        <f t="shared" si="70"/>
        <v>0</v>
      </c>
      <c r="K327" s="20">
        <f t="shared" si="71"/>
        <v>0</v>
      </c>
      <c r="L327" s="94">
        <f t="shared" si="72"/>
        <v>0</v>
      </c>
      <c r="M327" s="78">
        <f t="shared" si="73"/>
        <v>0</v>
      </c>
      <c r="N327" s="79">
        <f t="shared" si="74"/>
        <v>0</v>
      </c>
      <c r="O327" s="94">
        <f t="shared" si="75"/>
        <v>0</v>
      </c>
      <c r="P327" s="106">
        <f t="shared" si="76"/>
        <v>0</v>
      </c>
      <c r="Q327" s="94">
        <f t="shared" si="65"/>
        <v>0</v>
      </c>
      <c r="R327" s="78">
        <f t="shared" si="66"/>
        <v>0</v>
      </c>
      <c r="S327" s="84">
        <f t="shared" si="67"/>
        <v>0</v>
      </c>
      <c r="T327"/>
      <c r="U327"/>
      <c r="V327"/>
    </row>
    <row r="328" spans="1:22" s="16" customFormat="1" ht="15" customHeight="1" outlineLevel="1" x14ac:dyDescent="0.45">
      <c r="A328"/>
      <c r="B328" s="75"/>
      <c r="C328" s="78"/>
      <c r="D328" s="105"/>
      <c r="E328" s="106"/>
      <c r="F328" s="71"/>
      <c r="G328" s="78">
        <f t="shared" si="77"/>
        <v>0</v>
      </c>
      <c r="H328" s="3">
        <f t="shared" si="68"/>
        <v>0</v>
      </c>
      <c r="I328" s="20">
        <f t="shared" si="69"/>
        <v>0</v>
      </c>
      <c r="J328" s="94">
        <f t="shared" si="70"/>
        <v>0</v>
      </c>
      <c r="K328" s="20">
        <f t="shared" si="71"/>
        <v>0</v>
      </c>
      <c r="L328" s="94">
        <f t="shared" si="72"/>
        <v>0</v>
      </c>
      <c r="M328" s="78">
        <f t="shared" si="73"/>
        <v>0</v>
      </c>
      <c r="N328" s="79">
        <f t="shared" si="74"/>
        <v>0</v>
      </c>
      <c r="O328" s="94">
        <f t="shared" si="75"/>
        <v>0</v>
      </c>
      <c r="P328" s="106">
        <f t="shared" si="76"/>
        <v>0</v>
      </c>
      <c r="Q328" s="94">
        <f t="shared" si="65"/>
        <v>0</v>
      </c>
      <c r="R328" s="78">
        <f t="shared" si="66"/>
        <v>0</v>
      </c>
      <c r="S328" s="84">
        <f t="shared" si="67"/>
        <v>0</v>
      </c>
      <c r="T328"/>
      <c r="U328"/>
      <c r="V328"/>
    </row>
    <row r="329" spans="1:22" s="16" customFormat="1" ht="15" customHeight="1" outlineLevel="1" x14ac:dyDescent="0.45">
      <c r="A329"/>
      <c r="B329" s="75"/>
      <c r="C329" s="78"/>
      <c r="D329" s="105"/>
      <c r="E329" s="106"/>
      <c r="F329" s="71"/>
      <c r="G329" s="78">
        <f t="shared" si="77"/>
        <v>0</v>
      </c>
      <c r="H329" s="3">
        <f t="shared" si="68"/>
        <v>0</v>
      </c>
      <c r="I329" s="20">
        <f t="shared" si="69"/>
        <v>0</v>
      </c>
      <c r="J329" s="94">
        <f t="shared" si="70"/>
        <v>0</v>
      </c>
      <c r="K329" s="20">
        <f t="shared" si="71"/>
        <v>0</v>
      </c>
      <c r="L329" s="94">
        <f t="shared" si="72"/>
        <v>0</v>
      </c>
      <c r="M329" s="78">
        <f t="shared" si="73"/>
        <v>0</v>
      </c>
      <c r="N329" s="79">
        <f t="shared" si="74"/>
        <v>0</v>
      </c>
      <c r="O329" s="94">
        <f t="shared" si="75"/>
        <v>0</v>
      </c>
      <c r="P329" s="106">
        <f t="shared" si="76"/>
        <v>0</v>
      </c>
      <c r="Q329" s="94">
        <f t="shared" si="65"/>
        <v>0</v>
      </c>
      <c r="R329" s="78">
        <f t="shared" si="66"/>
        <v>0</v>
      </c>
      <c r="S329" s="84">
        <f t="shared" si="67"/>
        <v>0</v>
      </c>
      <c r="T329"/>
      <c r="U329"/>
      <c r="V329"/>
    </row>
    <row r="330" spans="1:22" s="16" customFormat="1" ht="15" customHeight="1" outlineLevel="1" x14ac:dyDescent="0.45">
      <c r="A330"/>
      <c r="B330" s="75"/>
      <c r="C330" s="78"/>
      <c r="D330" s="105"/>
      <c r="E330" s="106"/>
      <c r="F330" s="71"/>
      <c r="G330" s="78">
        <f t="shared" si="77"/>
        <v>0</v>
      </c>
      <c r="H330" s="3">
        <f t="shared" si="68"/>
        <v>0</v>
      </c>
      <c r="I330" s="20">
        <f t="shared" si="69"/>
        <v>0</v>
      </c>
      <c r="J330" s="94">
        <f t="shared" si="70"/>
        <v>0</v>
      </c>
      <c r="K330" s="20">
        <f t="shared" si="71"/>
        <v>0</v>
      </c>
      <c r="L330" s="94">
        <f t="shared" si="72"/>
        <v>0</v>
      </c>
      <c r="M330" s="78">
        <f t="shared" si="73"/>
        <v>0</v>
      </c>
      <c r="N330" s="79">
        <f t="shared" si="74"/>
        <v>0</v>
      </c>
      <c r="O330" s="94">
        <f t="shared" si="75"/>
        <v>0</v>
      </c>
      <c r="P330" s="106">
        <f t="shared" si="76"/>
        <v>0</v>
      </c>
      <c r="Q330" s="94">
        <f t="shared" si="65"/>
        <v>0</v>
      </c>
      <c r="R330" s="78">
        <f t="shared" si="66"/>
        <v>0</v>
      </c>
      <c r="S330" s="84">
        <f t="shared" si="67"/>
        <v>0</v>
      </c>
      <c r="T330"/>
      <c r="U330"/>
      <c r="V330"/>
    </row>
    <row r="331" spans="1:22" s="16" customFormat="1" ht="15" customHeight="1" outlineLevel="1" x14ac:dyDescent="0.45">
      <c r="A331"/>
      <c r="B331" s="75"/>
      <c r="C331" s="78"/>
      <c r="D331" s="105"/>
      <c r="E331" s="106"/>
      <c r="F331" s="71"/>
      <c r="G331" s="78">
        <f t="shared" si="77"/>
        <v>0</v>
      </c>
      <c r="H331" s="3">
        <f t="shared" si="68"/>
        <v>0</v>
      </c>
      <c r="I331" s="20">
        <f t="shared" si="69"/>
        <v>0</v>
      </c>
      <c r="J331" s="94">
        <f t="shared" si="70"/>
        <v>0</v>
      </c>
      <c r="K331" s="20">
        <f t="shared" si="71"/>
        <v>0</v>
      </c>
      <c r="L331" s="94">
        <f t="shared" si="72"/>
        <v>0</v>
      </c>
      <c r="M331" s="78">
        <f t="shared" si="73"/>
        <v>0</v>
      </c>
      <c r="N331" s="79">
        <f t="shared" si="74"/>
        <v>0</v>
      </c>
      <c r="O331" s="94">
        <f t="shared" si="75"/>
        <v>0</v>
      </c>
      <c r="P331" s="106">
        <f t="shared" si="76"/>
        <v>0</v>
      </c>
      <c r="Q331" s="94">
        <f t="shared" si="65"/>
        <v>0</v>
      </c>
      <c r="R331" s="78">
        <f t="shared" si="66"/>
        <v>0</v>
      </c>
      <c r="S331" s="84">
        <f t="shared" si="67"/>
        <v>0</v>
      </c>
      <c r="T331"/>
      <c r="U331"/>
      <c r="V331"/>
    </row>
    <row r="332" spans="1:22" s="16" customFormat="1" ht="15" customHeight="1" outlineLevel="1" x14ac:dyDescent="0.45">
      <c r="A332"/>
      <c r="B332" s="75"/>
      <c r="C332" s="78"/>
      <c r="D332" s="105"/>
      <c r="E332" s="106"/>
      <c r="F332" s="71"/>
      <c r="G332" s="78">
        <f t="shared" si="77"/>
        <v>0</v>
      </c>
      <c r="H332" s="3">
        <f t="shared" si="68"/>
        <v>0</v>
      </c>
      <c r="I332" s="20">
        <f t="shared" si="69"/>
        <v>0</v>
      </c>
      <c r="J332" s="94">
        <f t="shared" si="70"/>
        <v>0</v>
      </c>
      <c r="K332" s="20">
        <f t="shared" si="71"/>
        <v>0</v>
      </c>
      <c r="L332" s="94">
        <f t="shared" si="72"/>
        <v>0</v>
      </c>
      <c r="M332" s="78">
        <f t="shared" si="73"/>
        <v>0</v>
      </c>
      <c r="N332" s="79">
        <f t="shared" si="74"/>
        <v>0</v>
      </c>
      <c r="O332" s="94">
        <f t="shared" si="75"/>
        <v>0</v>
      </c>
      <c r="P332" s="106">
        <f t="shared" si="76"/>
        <v>0</v>
      </c>
      <c r="Q332" s="94">
        <f t="shared" si="65"/>
        <v>0</v>
      </c>
      <c r="R332" s="78">
        <f t="shared" si="66"/>
        <v>0</v>
      </c>
      <c r="S332" s="84">
        <f t="shared" si="67"/>
        <v>0</v>
      </c>
      <c r="T332"/>
      <c r="U332"/>
      <c r="V332"/>
    </row>
    <row r="333" spans="1:22" s="16" customFormat="1" ht="15" customHeight="1" outlineLevel="1" x14ac:dyDescent="0.45">
      <c r="A333"/>
      <c r="B333" s="75"/>
      <c r="C333" s="78"/>
      <c r="D333" s="105"/>
      <c r="E333" s="106"/>
      <c r="F333" s="71"/>
      <c r="G333" s="78">
        <f t="shared" si="77"/>
        <v>0</v>
      </c>
      <c r="H333" s="3">
        <f t="shared" si="68"/>
        <v>0</v>
      </c>
      <c r="I333" s="20">
        <f t="shared" si="69"/>
        <v>0</v>
      </c>
      <c r="J333" s="94">
        <f t="shared" si="70"/>
        <v>0</v>
      </c>
      <c r="K333" s="20">
        <f t="shared" si="71"/>
        <v>0</v>
      </c>
      <c r="L333" s="94">
        <f t="shared" si="72"/>
        <v>0</v>
      </c>
      <c r="M333" s="78">
        <f t="shared" si="73"/>
        <v>0</v>
      </c>
      <c r="N333" s="79">
        <f t="shared" si="74"/>
        <v>0</v>
      </c>
      <c r="O333" s="94">
        <f t="shared" si="75"/>
        <v>0</v>
      </c>
      <c r="P333" s="106">
        <f t="shared" si="76"/>
        <v>0</v>
      </c>
      <c r="Q333" s="94">
        <f t="shared" si="65"/>
        <v>0</v>
      </c>
      <c r="R333" s="78">
        <f t="shared" si="66"/>
        <v>0</v>
      </c>
      <c r="S333" s="84">
        <f t="shared" si="67"/>
        <v>0</v>
      </c>
      <c r="T333"/>
      <c r="U333"/>
      <c r="V333"/>
    </row>
    <row r="334" spans="1:22" s="16" customFormat="1" ht="15" customHeight="1" outlineLevel="1" x14ac:dyDescent="0.45">
      <c r="A334"/>
      <c r="B334" s="75"/>
      <c r="C334" s="78"/>
      <c r="D334" s="105"/>
      <c r="E334" s="106"/>
      <c r="F334" s="71"/>
      <c r="G334" s="78">
        <f t="shared" si="77"/>
        <v>0</v>
      </c>
      <c r="H334" s="3">
        <f t="shared" si="68"/>
        <v>0</v>
      </c>
      <c r="I334" s="20">
        <f t="shared" si="69"/>
        <v>0</v>
      </c>
      <c r="J334" s="94">
        <f t="shared" si="70"/>
        <v>0</v>
      </c>
      <c r="K334" s="20">
        <f t="shared" si="71"/>
        <v>0</v>
      </c>
      <c r="L334" s="94">
        <f t="shared" si="72"/>
        <v>0</v>
      </c>
      <c r="M334" s="78">
        <f t="shared" si="73"/>
        <v>0</v>
      </c>
      <c r="N334" s="79">
        <f t="shared" si="74"/>
        <v>0</v>
      </c>
      <c r="O334" s="94">
        <f t="shared" si="75"/>
        <v>0</v>
      </c>
      <c r="P334" s="106">
        <f t="shared" si="76"/>
        <v>0</v>
      </c>
      <c r="Q334" s="94">
        <f t="shared" si="65"/>
        <v>0</v>
      </c>
      <c r="R334" s="78">
        <f t="shared" si="66"/>
        <v>0</v>
      </c>
      <c r="S334" s="84">
        <f t="shared" si="67"/>
        <v>0</v>
      </c>
      <c r="T334"/>
      <c r="U334"/>
      <c r="V334"/>
    </row>
    <row r="335" spans="1:22" s="16" customFormat="1" ht="15" customHeight="1" outlineLevel="1" x14ac:dyDescent="0.45">
      <c r="A335"/>
      <c r="B335" s="75"/>
      <c r="C335" s="78"/>
      <c r="D335" s="105"/>
      <c r="E335" s="106"/>
      <c r="F335" s="71"/>
      <c r="G335" s="78">
        <f t="shared" si="77"/>
        <v>0</v>
      </c>
      <c r="H335" s="3">
        <f t="shared" si="68"/>
        <v>0</v>
      </c>
      <c r="I335" s="20">
        <f t="shared" si="69"/>
        <v>0</v>
      </c>
      <c r="J335" s="94">
        <f t="shared" si="70"/>
        <v>0</v>
      </c>
      <c r="K335" s="20">
        <f t="shared" si="71"/>
        <v>0</v>
      </c>
      <c r="L335" s="94">
        <f t="shared" si="72"/>
        <v>0</v>
      </c>
      <c r="M335" s="78">
        <f t="shared" si="73"/>
        <v>0</v>
      </c>
      <c r="N335" s="79">
        <f t="shared" si="74"/>
        <v>0</v>
      </c>
      <c r="O335" s="94">
        <f t="shared" si="75"/>
        <v>0</v>
      </c>
      <c r="P335" s="106">
        <f t="shared" si="76"/>
        <v>0</v>
      </c>
      <c r="Q335" s="94">
        <f t="shared" si="65"/>
        <v>0</v>
      </c>
      <c r="R335" s="78">
        <f t="shared" si="66"/>
        <v>0</v>
      </c>
      <c r="S335" s="84">
        <f t="shared" si="67"/>
        <v>0</v>
      </c>
      <c r="T335"/>
      <c r="U335"/>
      <c r="V335"/>
    </row>
    <row r="336" spans="1:22" s="16" customFormat="1" ht="15" customHeight="1" outlineLevel="1" x14ac:dyDescent="0.45">
      <c r="A336"/>
      <c r="B336" s="75"/>
      <c r="C336" s="78"/>
      <c r="D336" s="105"/>
      <c r="E336" s="106"/>
      <c r="F336" s="71"/>
      <c r="G336" s="78">
        <f t="shared" si="77"/>
        <v>0</v>
      </c>
      <c r="H336" s="3">
        <f t="shared" si="68"/>
        <v>0</v>
      </c>
      <c r="I336" s="20">
        <f t="shared" si="69"/>
        <v>0</v>
      </c>
      <c r="J336" s="94">
        <f t="shared" si="70"/>
        <v>0</v>
      </c>
      <c r="K336" s="20">
        <f t="shared" si="71"/>
        <v>0</v>
      </c>
      <c r="L336" s="94">
        <f t="shared" si="72"/>
        <v>0</v>
      </c>
      <c r="M336" s="78">
        <f t="shared" si="73"/>
        <v>0</v>
      </c>
      <c r="N336" s="79">
        <f t="shared" si="74"/>
        <v>0</v>
      </c>
      <c r="O336" s="94">
        <f t="shared" si="75"/>
        <v>0</v>
      </c>
      <c r="P336" s="106">
        <f t="shared" si="76"/>
        <v>0</v>
      </c>
      <c r="Q336" s="94">
        <f t="shared" si="65"/>
        <v>0</v>
      </c>
      <c r="R336" s="78">
        <f t="shared" si="66"/>
        <v>0</v>
      </c>
      <c r="S336" s="84">
        <f t="shared" si="67"/>
        <v>0</v>
      </c>
      <c r="T336"/>
      <c r="U336"/>
      <c r="V336"/>
    </row>
    <row r="337" spans="1:22" s="16" customFormat="1" ht="15" customHeight="1" outlineLevel="1" x14ac:dyDescent="0.45">
      <c r="A337"/>
      <c r="B337" s="75"/>
      <c r="C337" s="78"/>
      <c r="D337" s="105"/>
      <c r="E337" s="106"/>
      <c r="F337" s="71"/>
      <c r="G337" s="78">
        <f t="shared" si="77"/>
        <v>0</v>
      </c>
      <c r="H337" s="3">
        <f t="shared" si="68"/>
        <v>0</v>
      </c>
      <c r="I337" s="20">
        <f t="shared" si="69"/>
        <v>0</v>
      </c>
      <c r="J337" s="94">
        <f t="shared" si="70"/>
        <v>0</v>
      </c>
      <c r="K337" s="20">
        <f t="shared" si="71"/>
        <v>0</v>
      </c>
      <c r="L337" s="94">
        <f t="shared" si="72"/>
        <v>0</v>
      </c>
      <c r="M337" s="78">
        <f t="shared" si="73"/>
        <v>0</v>
      </c>
      <c r="N337" s="79">
        <f t="shared" si="74"/>
        <v>0</v>
      </c>
      <c r="O337" s="94">
        <f t="shared" si="75"/>
        <v>0</v>
      </c>
      <c r="P337" s="106">
        <f t="shared" si="76"/>
        <v>0</v>
      </c>
      <c r="Q337" s="94">
        <f t="shared" si="65"/>
        <v>0</v>
      </c>
      <c r="R337" s="78">
        <f t="shared" si="66"/>
        <v>0</v>
      </c>
      <c r="S337" s="84">
        <f t="shared" si="67"/>
        <v>0</v>
      </c>
      <c r="T337"/>
      <c r="U337"/>
      <c r="V337"/>
    </row>
    <row r="338" spans="1:22" s="16" customFormat="1" ht="15" customHeight="1" outlineLevel="1" x14ac:dyDescent="0.45">
      <c r="A338"/>
      <c r="B338" s="75"/>
      <c r="C338" s="78"/>
      <c r="D338" s="105"/>
      <c r="E338" s="106"/>
      <c r="F338" s="71"/>
      <c r="G338" s="78">
        <f t="shared" si="77"/>
        <v>0</v>
      </c>
      <c r="H338" s="3">
        <f t="shared" si="68"/>
        <v>0</v>
      </c>
      <c r="I338" s="20">
        <f t="shared" si="69"/>
        <v>0</v>
      </c>
      <c r="J338" s="94">
        <f t="shared" si="70"/>
        <v>0</v>
      </c>
      <c r="K338" s="20">
        <f t="shared" si="71"/>
        <v>0</v>
      </c>
      <c r="L338" s="94">
        <f t="shared" si="72"/>
        <v>0</v>
      </c>
      <c r="M338" s="78">
        <f t="shared" si="73"/>
        <v>0</v>
      </c>
      <c r="N338" s="79">
        <f t="shared" si="74"/>
        <v>0</v>
      </c>
      <c r="O338" s="94">
        <f t="shared" si="75"/>
        <v>0</v>
      </c>
      <c r="P338" s="106">
        <f t="shared" si="76"/>
        <v>0</v>
      </c>
      <c r="Q338" s="94">
        <f t="shared" si="65"/>
        <v>0</v>
      </c>
      <c r="R338" s="78">
        <f t="shared" si="66"/>
        <v>0</v>
      </c>
      <c r="S338" s="84">
        <f t="shared" si="67"/>
        <v>0</v>
      </c>
      <c r="T338"/>
      <c r="U338"/>
      <c r="V338"/>
    </row>
    <row r="339" spans="1:22" s="16" customFormat="1" ht="15" customHeight="1" outlineLevel="1" x14ac:dyDescent="0.45">
      <c r="A339"/>
      <c r="B339" s="75"/>
      <c r="C339" s="78"/>
      <c r="D339" s="105"/>
      <c r="E339" s="106"/>
      <c r="F339" s="71"/>
      <c r="G339" s="78">
        <f t="shared" si="77"/>
        <v>0</v>
      </c>
      <c r="H339" s="3">
        <f t="shared" si="68"/>
        <v>0</v>
      </c>
      <c r="I339" s="20">
        <f t="shared" si="69"/>
        <v>0</v>
      </c>
      <c r="J339" s="94">
        <f t="shared" si="70"/>
        <v>0</v>
      </c>
      <c r="K339" s="20">
        <f t="shared" si="71"/>
        <v>0</v>
      </c>
      <c r="L339" s="94">
        <f t="shared" si="72"/>
        <v>0</v>
      </c>
      <c r="M339" s="78">
        <f t="shared" si="73"/>
        <v>0</v>
      </c>
      <c r="N339" s="79">
        <f t="shared" si="74"/>
        <v>0</v>
      </c>
      <c r="O339" s="94">
        <f t="shared" si="75"/>
        <v>0</v>
      </c>
      <c r="P339" s="106">
        <f t="shared" si="76"/>
        <v>0</v>
      </c>
      <c r="Q339" s="94">
        <f t="shared" si="65"/>
        <v>0</v>
      </c>
      <c r="R339" s="78">
        <f t="shared" si="66"/>
        <v>0</v>
      </c>
      <c r="S339" s="84">
        <f t="shared" si="67"/>
        <v>0</v>
      </c>
      <c r="T339"/>
      <c r="U339"/>
      <c r="V339"/>
    </row>
    <row r="340" spans="1:22" s="16" customFormat="1" ht="15" customHeight="1" outlineLevel="1" x14ac:dyDescent="0.45">
      <c r="A340"/>
      <c r="B340" s="75"/>
      <c r="C340" s="78"/>
      <c r="D340" s="105"/>
      <c r="E340" s="106"/>
      <c r="F340" s="71"/>
      <c r="G340" s="78">
        <f t="shared" si="77"/>
        <v>0</v>
      </c>
      <c r="H340" s="3">
        <f t="shared" si="68"/>
        <v>0</v>
      </c>
      <c r="I340" s="20">
        <f t="shared" si="69"/>
        <v>0</v>
      </c>
      <c r="J340" s="94">
        <f t="shared" si="70"/>
        <v>0</v>
      </c>
      <c r="K340" s="20">
        <f t="shared" si="71"/>
        <v>0</v>
      </c>
      <c r="L340" s="94">
        <f t="shared" si="72"/>
        <v>0</v>
      </c>
      <c r="M340" s="78">
        <f t="shared" si="73"/>
        <v>0</v>
      </c>
      <c r="N340" s="79">
        <f t="shared" si="74"/>
        <v>0</v>
      </c>
      <c r="O340" s="94">
        <f t="shared" si="75"/>
        <v>0</v>
      </c>
      <c r="P340" s="106">
        <f t="shared" si="76"/>
        <v>0</v>
      </c>
      <c r="Q340" s="94">
        <f t="shared" si="65"/>
        <v>0</v>
      </c>
      <c r="R340" s="78">
        <f t="shared" si="66"/>
        <v>0</v>
      </c>
      <c r="S340" s="84">
        <f t="shared" si="67"/>
        <v>0</v>
      </c>
      <c r="T340"/>
      <c r="U340"/>
      <c r="V340"/>
    </row>
    <row r="341" spans="1:22" s="16" customFormat="1" ht="15" customHeight="1" outlineLevel="1" x14ac:dyDescent="0.45">
      <c r="A341"/>
      <c r="B341" s="75"/>
      <c r="C341" s="78"/>
      <c r="D341" s="105"/>
      <c r="E341" s="106"/>
      <c r="F341" s="71"/>
      <c r="G341" s="78">
        <f t="shared" si="77"/>
        <v>0</v>
      </c>
      <c r="H341" s="3">
        <f t="shared" si="68"/>
        <v>0</v>
      </c>
      <c r="I341" s="20">
        <f t="shared" si="69"/>
        <v>0</v>
      </c>
      <c r="J341" s="94">
        <f t="shared" si="70"/>
        <v>0</v>
      </c>
      <c r="K341" s="20">
        <f t="shared" si="71"/>
        <v>0</v>
      </c>
      <c r="L341" s="94">
        <f t="shared" si="72"/>
        <v>0</v>
      </c>
      <c r="M341" s="78">
        <f t="shared" si="73"/>
        <v>0</v>
      </c>
      <c r="N341" s="79">
        <f t="shared" si="74"/>
        <v>0</v>
      </c>
      <c r="O341" s="94">
        <f t="shared" si="75"/>
        <v>0</v>
      </c>
      <c r="P341" s="106">
        <f t="shared" si="76"/>
        <v>0</v>
      </c>
      <c r="Q341" s="94">
        <f t="shared" si="65"/>
        <v>0</v>
      </c>
      <c r="R341" s="78">
        <f t="shared" si="66"/>
        <v>0</v>
      </c>
      <c r="S341" s="84">
        <f t="shared" si="67"/>
        <v>0</v>
      </c>
      <c r="T341"/>
      <c r="U341"/>
      <c r="V341"/>
    </row>
    <row r="342" spans="1:22" s="16" customFormat="1" ht="15" customHeight="1" outlineLevel="1" x14ac:dyDescent="0.45">
      <c r="A342"/>
      <c r="B342" s="75"/>
      <c r="C342" s="78"/>
      <c r="D342" s="105"/>
      <c r="E342" s="106"/>
      <c r="F342" s="71"/>
      <c r="G342" s="78">
        <f t="shared" si="77"/>
        <v>0</v>
      </c>
      <c r="H342" s="3">
        <f t="shared" si="68"/>
        <v>0</v>
      </c>
      <c r="I342" s="20">
        <f t="shared" si="69"/>
        <v>0</v>
      </c>
      <c r="J342" s="94">
        <f t="shared" si="70"/>
        <v>0</v>
      </c>
      <c r="K342" s="20">
        <f t="shared" si="71"/>
        <v>0</v>
      </c>
      <c r="L342" s="94">
        <f t="shared" si="72"/>
        <v>0</v>
      </c>
      <c r="M342" s="78">
        <f t="shared" si="73"/>
        <v>0</v>
      </c>
      <c r="N342" s="79">
        <f t="shared" si="74"/>
        <v>0</v>
      </c>
      <c r="O342" s="94">
        <f t="shared" si="75"/>
        <v>0</v>
      </c>
      <c r="P342" s="106">
        <f t="shared" si="76"/>
        <v>0</v>
      </c>
      <c r="Q342" s="94">
        <f t="shared" si="65"/>
        <v>0</v>
      </c>
      <c r="R342" s="78">
        <f t="shared" si="66"/>
        <v>0</v>
      </c>
      <c r="S342" s="84">
        <f t="shared" si="67"/>
        <v>0</v>
      </c>
      <c r="T342"/>
      <c r="U342"/>
      <c r="V342"/>
    </row>
    <row r="343" spans="1:22" s="16" customFormat="1" ht="15" customHeight="1" outlineLevel="1" x14ac:dyDescent="0.45">
      <c r="A343"/>
      <c r="B343" s="75"/>
      <c r="C343" s="78"/>
      <c r="D343" s="105"/>
      <c r="E343" s="106"/>
      <c r="F343" s="71"/>
      <c r="G343" s="78">
        <f t="shared" si="77"/>
        <v>0</v>
      </c>
      <c r="H343" s="3">
        <f t="shared" si="68"/>
        <v>0</v>
      </c>
      <c r="I343" s="20">
        <f t="shared" si="69"/>
        <v>0</v>
      </c>
      <c r="J343" s="94">
        <f t="shared" si="70"/>
        <v>0</v>
      </c>
      <c r="K343" s="20">
        <f t="shared" si="71"/>
        <v>0</v>
      </c>
      <c r="L343" s="94">
        <f t="shared" si="72"/>
        <v>0</v>
      </c>
      <c r="M343" s="78">
        <f t="shared" si="73"/>
        <v>0</v>
      </c>
      <c r="N343" s="79">
        <f t="shared" si="74"/>
        <v>0</v>
      </c>
      <c r="O343" s="94">
        <f t="shared" si="75"/>
        <v>0</v>
      </c>
      <c r="P343" s="106">
        <f t="shared" si="76"/>
        <v>0</v>
      </c>
      <c r="Q343" s="94">
        <f t="shared" si="65"/>
        <v>0</v>
      </c>
      <c r="R343" s="78">
        <f t="shared" si="66"/>
        <v>0</v>
      </c>
      <c r="S343" s="84">
        <f t="shared" si="67"/>
        <v>0</v>
      </c>
      <c r="T343"/>
      <c r="U343"/>
      <c r="V343"/>
    </row>
    <row r="344" spans="1:22" s="16" customFormat="1" ht="15" customHeight="1" outlineLevel="1" x14ac:dyDescent="0.45">
      <c r="A344"/>
      <c r="B344" s="75"/>
      <c r="C344" s="78"/>
      <c r="D344" s="105"/>
      <c r="E344" s="106"/>
      <c r="F344" s="71"/>
      <c r="G344" s="78">
        <f t="shared" si="77"/>
        <v>0</v>
      </c>
      <c r="H344" s="3">
        <f t="shared" si="68"/>
        <v>0</v>
      </c>
      <c r="I344" s="20">
        <f t="shared" si="69"/>
        <v>0</v>
      </c>
      <c r="J344" s="94">
        <f t="shared" si="70"/>
        <v>0</v>
      </c>
      <c r="K344" s="20">
        <f t="shared" si="71"/>
        <v>0</v>
      </c>
      <c r="L344" s="94">
        <f t="shared" si="72"/>
        <v>0</v>
      </c>
      <c r="M344" s="78">
        <f t="shared" si="73"/>
        <v>0</v>
      </c>
      <c r="N344" s="79">
        <f t="shared" si="74"/>
        <v>0</v>
      </c>
      <c r="O344" s="94">
        <f t="shared" si="75"/>
        <v>0</v>
      </c>
      <c r="P344" s="106">
        <f t="shared" si="76"/>
        <v>0</v>
      </c>
      <c r="Q344" s="94">
        <f t="shared" si="65"/>
        <v>0</v>
      </c>
      <c r="R344" s="78">
        <f t="shared" si="66"/>
        <v>0</v>
      </c>
      <c r="S344" s="84">
        <f t="shared" si="67"/>
        <v>0</v>
      </c>
      <c r="T344"/>
      <c r="U344"/>
      <c r="V344"/>
    </row>
    <row r="345" spans="1:22" s="16" customFormat="1" ht="15" customHeight="1" outlineLevel="1" x14ac:dyDescent="0.45">
      <c r="A345"/>
      <c r="B345" s="75"/>
      <c r="C345" s="78"/>
      <c r="D345" s="105"/>
      <c r="E345" s="106"/>
      <c r="F345" s="71"/>
      <c r="G345" s="78">
        <f t="shared" si="77"/>
        <v>0</v>
      </c>
      <c r="H345" s="3">
        <f t="shared" si="68"/>
        <v>0</v>
      </c>
      <c r="I345" s="20">
        <f t="shared" si="69"/>
        <v>0</v>
      </c>
      <c r="J345" s="94">
        <f t="shared" si="70"/>
        <v>0</v>
      </c>
      <c r="K345" s="20">
        <f t="shared" si="71"/>
        <v>0</v>
      </c>
      <c r="L345" s="94">
        <f t="shared" si="72"/>
        <v>0</v>
      </c>
      <c r="M345" s="78">
        <f t="shared" si="73"/>
        <v>0</v>
      </c>
      <c r="N345" s="79">
        <f t="shared" si="74"/>
        <v>0</v>
      </c>
      <c r="O345" s="94">
        <f t="shared" si="75"/>
        <v>0</v>
      </c>
      <c r="P345" s="106">
        <f t="shared" si="76"/>
        <v>0</v>
      </c>
      <c r="Q345" s="94">
        <f t="shared" si="65"/>
        <v>0</v>
      </c>
      <c r="R345" s="78">
        <f t="shared" si="66"/>
        <v>0</v>
      </c>
      <c r="S345" s="84">
        <f t="shared" si="67"/>
        <v>0</v>
      </c>
      <c r="T345"/>
      <c r="U345"/>
      <c r="V345"/>
    </row>
    <row r="346" spans="1:22" s="16" customFormat="1" ht="15" customHeight="1" outlineLevel="1" x14ac:dyDescent="0.45">
      <c r="A346"/>
      <c r="B346" s="75"/>
      <c r="C346" s="78"/>
      <c r="D346" s="105"/>
      <c r="E346" s="106"/>
      <c r="F346" s="71"/>
      <c r="G346" s="78">
        <f t="shared" si="77"/>
        <v>0</v>
      </c>
      <c r="H346" s="3">
        <f t="shared" si="68"/>
        <v>0</v>
      </c>
      <c r="I346" s="20">
        <f t="shared" si="69"/>
        <v>0</v>
      </c>
      <c r="J346" s="94">
        <f t="shared" si="70"/>
        <v>0</v>
      </c>
      <c r="K346" s="20">
        <f t="shared" si="71"/>
        <v>0</v>
      </c>
      <c r="L346" s="94">
        <f t="shared" si="72"/>
        <v>0</v>
      </c>
      <c r="M346" s="78">
        <f t="shared" si="73"/>
        <v>0</v>
      </c>
      <c r="N346" s="79">
        <f t="shared" si="74"/>
        <v>0</v>
      </c>
      <c r="O346" s="94">
        <f t="shared" si="75"/>
        <v>0</v>
      </c>
      <c r="P346" s="106">
        <f t="shared" si="76"/>
        <v>0</v>
      </c>
      <c r="Q346" s="94">
        <f t="shared" si="65"/>
        <v>0</v>
      </c>
      <c r="R346" s="78">
        <f t="shared" si="66"/>
        <v>0</v>
      </c>
      <c r="S346" s="84">
        <f t="shared" si="67"/>
        <v>0</v>
      </c>
      <c r="T346"/>
      <c r="U346"/>
      <c r="V346"/>
    </row>
    <row r="347" spans="1:22" s="16" customFormat="1" ht="15" customHeight="1" outlineLevel="1" x14ac:dyDescent="0.45">
      <c r="A347"/>
      <c r="B347" s="75"/>
      <c r="C347" s="78"/>
      <c r="D347" s="105"/>
      <c r="E347" s="106"/>
      <c r="F347" s="71"/>
      <c r="G347" s="78">
        <f t="shared" si="77"/>
        <v>0</v>
      </c>
      <c r="H347" s="3">
        <f t="shared" si="68"/>
        <v>0</v>
      </c>
      <c r="I347" s="20">
        <f t="shared" si="69"/>
        <v>0</v>
      </c>
      <c r="J347" s="94">
        <f t="shared" si="70"/>
        <v>0</v>
      </c>
      <c r="K347" s="20">
        <f t="shared" si="71"/>
        <v>0</v>
      </c>
      <c r="L347" s="94">
        <f t="shared" si="72"/>
        <v>0</v>
      </c>
      <c r="M347" s="78">
        <f t="shared" si="73"/>
        <v>0</v>
      </c>
      <c r="N347" s="79">
        <f t="shared" si="74"/>
        <v>0</v>
      </c>
      <c r="O347" s="94">
        <f t="shared" si="75"/>
        <v>0</v>
      </c>
      <c r="P347" s="106">
        <f t="shared" si="76"/>
        <v>0</v>
      </c>
      <c r="Q347" s="94">
        <f t="shared" si="65"/>
        <v>0</v>
      </c>
      <c r="R347" s="78">
        <f t="shared" si="66"/>
        <v>0</v>
      </c>
      <c r="S347" s="84">
        <f t="shared" si="67"/>
        <v>0</v>
      </c>
      <c r="T347"/>
      <c r="U347"/>
      <c r="V347"/>
    </row>
    <row r="348" spans="1:22" s="16" customFormat="1" ht="15" customHeight="1" outlineLevel="1" x14ac:dyDescent="0.45">
      <c r="A348"/>
      <c r="B348" s="75"/>
      <c r="C348" s="78"/>
      <c r="D348" s="105"/>
      <c r="E348" s="106"/>
      <c r="F348" s="71"/>
      <c r="G348" s="78">
        <f t="shared" si="77"/>
        <v>0</v>
      </c>
      <c r="H348" s="3">
        <f t="shared" si="68"/>
        <v>0</v>
      </c>
      <c r="I348" s="20">
        <f t="shared" si="69"/>
        <v>0</v>
      </c>
      <c r="J348" s="94">
        <f t="shared" si="70"/>
        <v>0</v>
      </c>
      <c r="K348" s="20">
        <f t="shared" si="71"/>
        <v>0</v>
      </c>
      <c r="L348" s="94">
        <f t="shared" si="72"/>
        <v>0</v>
      </c>
      <c r="M348" s="78">
        <f t="shared" si="73"/>
        <v>0</v>
      </c>
      <c r="N348" s="79">
        <f t="shared" si="74"/>
        <v>0</v>
      </c>
      <c r="O348" s="94">
        <f t="shared" si="75"/>
        <v>0</v>
      </c>
      <c r="P348" s="106">
        <f t="shared" si="76"/>
        <v>0</v>
      </c>
      <c r="Q348" s="94">
        <f t="shared" si="65"/>
        <v>0</v>
      </c>
      <c r="R348" s="78">
        <f t="shared" si="66"/>
        <v>0</v>
      </c>
      <c r="S348" s="84">
        <f t="shared" si="67"/>
        <v>0</v>
      </c>
      <c r="T348"/>
      <c r="U348"/>
      <c r="V348"/>
    </row>
    <row r="349" spans="1:22" s="16" customFormat="1" ht="15" customHeight="1" outlineLevel="1" x14ac:dyDescent="0.45">
      <c r="A349"/>
      <c r="B349" s="75"/>
      <c r="C349" s="78"/>
      <c r="D349" s="105"/>
      <c r="E349" s="106"/>
      <c r="F349" s="71"/>
      <c r="G349" s="78">
        <f t="shared" si="77"/>
        <v>0</v>
      </c>
      <c r="H349" s="3">
        <f t="shared" si="68"/>
        <v>0</v>
      </c>
      <c r="I349" s="20">
        <f t="shared" si="69"/>
        <v>0</v>
      </c>
      <c r="J349" s="94">
        <f t="shared" si="70"/>
        <v>0</v>
      </c>
      <c r="K349" s="20">
        <f t="shared" si="71"/>
        <v>0</v>
      </c>
      <c r="L349" s="94">
        <f t="shared" si="72"/>
        <v>0</v>
      </c>
      <c r="M349" s="78">
        <f t="shared" si="73"/>
        <v>0</v>
      </c>
      <c r="N349" s="79">
        <f t="shared" si="74"/>
        <v>0</v>
      </c>
      <c r="O349" s="94">
        <f t="shared" si="75"/>
        <v>0</v>
      </c>
      <c r="P349" s="106">
        <f t="shared" si="76"/>
        <v>0</v>
      </c>
      <c r="Q349" s="94">
        <f t="shared" si="65"/>
        <v>0</v>
      </c>
      <c r="R349" s="78">
        <f t="shared" si="66"/>
        <v>0</v>
      </c>
      <c r="S349" s="84">
        <f t="shared" si="67"/>
        <v>0</v>
      </c>
      <c r="T349"/>
      <c r="U349"/>
      <c r="V349"/>
    </row>
    <row r="350" spans="1:22" s="16" customFormat="1" ht="15" customHeight="1" outlineLevel="1" x14ac:dyDescent="0.45">
      <c r="A350"/>
      <c r="B350" s="75"/>
      <c r="C350" s="78"/>
      <c r="D350" s="105"/>
      <c r="E350" s="106"/>
      <c r="F350" s="71"/>
      <c r="G350" s="78">
        <f t="shared" si="77"/>
        <v>0</v>
      </c>
      <c r="H350" s="3">
        <f t="shared" si="68"/>
        <v>0</v>
      </c>
      <c r="I350" s="20">
        <f t="shared" si="69"/>
        <v>0</v>
      </c>
      <c r="J350" s="94">
        <f t="shared" si="70"/>
        <v>0</v>
      </c>
      <c r="K350" s="20">
        <f t="shared" si="71"/>
        <v>0</v>
      </c>
      <c r="L350" s="94">
        <f t="shared" si="72"/>
        <v>0</v>
      </c>
      <c r="M350" s="78">
        <f t="shared" si="73"/>
        <v>0</v>
      </c>
      <c r="N350" s="79">
        <f t="shared" si="74"/>
        <v>0</v>
      </c>
      <c r="O350" s="94">
        <f t="shared" si="75"/>
        <v>0</v>
      </c>
      <c r="P350" s="106">
        <f t="shared" si="76"/>
        <v>0</v>
      </c>
      <c r="Q350" s="94">
        <f t="shared" si="65"/>
        <v>0</v>
      </c>
      <c r="R350" s="78">
        <f t="shared" si="66"/>
        <v>0</v>
      </c>
      <c r="S350" s="84">
        <f t="shared" si="67"/>
        <v>0</v>
      </c>
      <c r="T350"/>
      <c r="U350"/>
      <c r="V350"/>
    </row>
    <row r="351" spans="1:22" s="16" customFormat="1" ht="15" customHeight="1" outlineLevel="1" x14ac:dyDescent="0.45">
      <c r="A351"/>
      <c r="B351" s="75"/>
      <c r="C351" s="78"/>
      <c r="D351" s="105"/>
      <c r="E351" s="106"/>
      <c r="F351" s="71"/>
      <c r="G351" s="78">
        <f t="shared" si="77"/>
        <v>0</v>
      </c>
      <c r="H351" s="3">
        <f t="shared" si="68"/>
        <v>0</v>
      </c>
      <c r="I351" s="20">
        <f t="shared" si="69"/>
        <v>0</v>
      </c>
      <c r="J351" s="94">
        <f t="shared" si="70"/>
        <v>0</v>
      </c>
      <c r="K351" s="20">
        <f t="shared" si="71"/>
        <v>0</v>
      </c>
      <c r="L351" s="94">
        <f t="shared" si="72"/>
        <v>0</v>
      </c>
      <c r="M351" s="78">
        <f t="shared" si="73"/>
        <v>0</v>
      </c>
      <c r="N351" s="79">
        <f t="shared" si="74"/>
        <v>0</v>
      </c>
      <c r="O351" s="94">
        <f t="shared" si="75"/>
        <v>0</v>
      </c>
      <c r="P351" s="106">
        <f t="shared" si="76"/>
        <v>0</v>
      </c>
      <c r="Q351" s="94">
        <f t="shared" si="65"/>
        <v>0</v>
      </c>
      <c r="R351" s="78">
        <f t="shared" si="66"/>
        <v>0</v>
      </c>
      <c r="S351" s="84">
        <f t="shared" si="67"/>
        <v>0</v>
      </c>
      <c r="T351"/>
      <c r="U351"/>
      <c r="V351"/>
    </row>
    <row r="352" spans="1:22" s="16" customFormat="1" ht="15" customHeight="1" outlineLevel="1" x14ac:dyDescent="0.45">
      <c r="A352"/>
      <c r="B352" s="75"/>
      <c r="C352" s="78"/>
      <c r="D352" s="105"/>
      <c r="E352" s="106"/>
      <c r="F352" s="71"/>
      <c r="G352" s="78">
        <f t="shared" si="77"/>
        <v>0</v>
      </c>
      <c r="H352" s="3">
        <f t="shared" si="68"/>
        <v>0</v>
      </c>
      <c r="I352" s="20">
        <f t="shared" si="69"/>
        <v>0</v>
      </c>
      <c r="J352" s="94">
        <f t="shared" si="70"/>
        <v>0</v>
      </c>
      <c r="K352" s="20">
        <f t="shared" si="71"/>
        <v>0</v>
      </c>
      <c r="L352" s="94">
        <f t="shared" si="72"/>
        <v>0</v>
      </c>
      <c r="M352" s="78">
        <f t="shared" si="73"/>
        <v>0</v>
      </c>
      <c r="N352" s="79">
        <f t="shared" si="74"/>
        <v>0</v>
      </c>
      <c r="O352" s="94">
        <f t="shared" si="75"/>
        <v>0</v>
      </c>
      <c r="P352" s="106">
        <f t="shared" si="76"/>
        <v>0</v>
      </c>
      <c r="Q352" s="94">
        <f t="shared" si="65"/>
        <v>0</v>
      </c>
      <c r="R352" s="78">
        <f t="shared" si="66"/>
        <v>0</v>
      </c>
      <c r="S352" s="84">
        <f t="shared" si="67"/>
        <v>0</v>
      </c>
      <c r="T352"/>
      <c r="U352"/>
      <c r="V352"/>
    </row>
    <row r="353" spans="1:22" s="16" customFormat="1" ht="15" customHeight="1" outlineLevel="1" x14ac:dyDescent="0.45">
      <c r="A353"/>
      <c r="B353" s="75"/>
      <c r="C353" s="78"/>
      <c r="D353" s="105"/>
      <c r="E353" s="106"/>
      <c r="F353" s="71"/>
      <c r="G353" s="78">
        <f t="shared" si="77"/>
        <v>0</v>
      </c>
      <c r="H353" s="3">
        <f t="shared" si="68"/>
        <v>0</v>
      </c>
      <c r="I353" s="20">
        <f t="shared" si="69"/>
        <v>0</v>
      </c>
      <c r="J353" s="94">
        <f t="shared" si="70"/>
        <v>0</v>
      </c>
      <c r="K353" s="20">
        <f t="shared" si="71"/>
        <v>0</v>
      </c>
      <c r="L353" s="94">
        <f t="shared" si="72"/>
        <v>0</v>
      </c>
      <c r="M353" s="78">
        <f t="shared" si="73"/>
        <v>0</v>
      </c>
      <c r="N353" s="79">
        <f t="shared" si="74"/>
        <v>0</v>
      </c>
      <c r="O353" s="94">
        <f t="shared" si="75"/>
        <v>0</v>
      </c>
      <c r="P353" s="106">
        <f t="shared" si="76"/>
        <v>0</v>
      </c>
      <c r="Q353" s="94">
        <f t="shared" si="65"/>
        <v>0</v>
      </c>
      <c r="R353" s="78">
        <f t="shared" si="66"/>
        <v>0</v>
      </c>
      <c r="S353" s="84">
        <f t="shared" si="67"/>
        <v>0</v>
      </c>
      <c r="T353"/>
      <c r="U353"/>
      <c r="V353"/>
    </row>
    <row r="354" spans="1:22" s="16" customFormat="1" ht="15" customHeight="1" outlineLevel="1" x14ac:dyDescent="0.45">
      <c r="A354"/>
      <c r="B354" s="75"/>
      <c r="C354" s="78"/>
      <c r="D354" s="105"/>
      <c r="E354" s="106"/>
      <c r="F354" s="71"/>
      <c r="G354" s="78">
        <f t="shared" si="77"/>
        <v>0</v>
      </c>
      <c r="H354" s="3">
        <f t="shared" si="68"/>
        <v>0</v>
      </c>
      <c r="I354" s="20">
        <f t="shared" si="69"/>
        <v>0</v>
      </c>
      <c r="J354" s="94">
        <f t="shared" si="70"/>
        <v>0</v>
      </c>
      <c r="K354" s="20">
        <f t="shared" si="71"/>
        <v>0</v>
      </c>
      <c r="L354" s="94">
        <f t="shared" si="72"/>
        <v>0</v>
      </c>
      <c r="M354" s="78">
        <f t="shared" si="73"/>
        <v>0</v>
      </c>
      <c r="N354" s="79">
        <f t="shared" si="74"/>
        <v>0</v>
      </c>
      <c r="O354" s="94">
        <f t="shared" si="75"/>
        <v>0</v>
      </c>
      <c r="P354" s="106">
        <f t="shared" si="76"/>
        <v>0</v>
      </c>
      <c r="Q354" s="94">
        <f t="shared" si="65"/>
        <v>0</v>
      </c>
      <c r="R354" s="78">
        <f t="shared" si="66"/>
        <v>0</v>
      </c>
      <c r="S354" s="84">
        <f t="shared" si="67"/>
        <v>0</v>
      </c>
      <c r="T354"/>
      <c r="U354"/>
      <c r="V354"/>
    </row>
    <row r="355" spans="1:22" s="16" customFormat="1" ht="15" customHeight="1" outlineLevel="1" x14ac:dyDescent="0.45">
      <c r="A355"/>
      <c r="B355" s="75"/>
      <c r="C355" s="78"/>
      <c r="D355" s="105"/>
      <c r="E355" s="106"/>
      <c r="F355" s="71"/>
      <c r="G355" s="78">
        <f t="shared" si="77"/>
        <v>0</v>
      </c>
      <c r="H355" s="3">
        <f t="shared" si="68"/>
        <v>0</v>
      </c>
      <c r="I355" s="20">
        <f t="shared" si="69"/>
        <v>0</v>
      </c>
      <c r="J355" s="94">
        <f t="shared" si="70"/>
        <v>0</v>
      </c>
      <c r="K355" s="20">
        <f t="shared" si="71"/>
        <v>0</v>
      </c>
      <c r="L355" s="94">
        <f t="shared" si="72"/>
        <v>0</v>
      </c>
      <c r="M355" s="78">
        <f t="shared" si="73"/>
        <v>0</v>
      </c>
      <c r="N355" s="79">
        <f t="shared" si="74"/>
        <v>0</v>
      </c>
      <c r="O355" s="94">
        <f t="shared" si="75"/>
        <v>0</v>
      </c>
      <c r="P355" s="106">
        <f t="shared" si="76"/>
        <v>0</v>
      </c>
      <c r="Q355" s="94">
        <f t="shared" si="65"/>
        <v>0</v>
      </c>
      <c r="R355" s="78">
        <f t="shared" si="66"/>
        <v>0</v>
      </c>
      <c r="S355" s="84">
        <f t="shared" si="67"/>
        <v>0</v>
      </c>
      <c r="T355"/>
      <c r="U355"/>
      <c r="V355"/>
    </row>
    <row r="356" spans="1:22" s="16" customFormat="1" ht="15" customHeight="1" outlineLevel="1" x14ac:dyDescent="0.45">
      <c r="A356"/>
      <c r="B356" s="75"/>
      <c r="C356" s="78"/>
      <c r="D356" s="105"/>
      <c r="E356" s="106"/>
      <c r="F356" s="71"/>
      <c r="G356" s="78">
        <f t="shared" si="77"/>
        <v>0</v>
      </c>
      <c r="H356" s="3">
        <f t="shared" si="68"/>
        <v>0</v>
      </c>
      <c r="I356" s="20">
        <f t="shared" si="69"/>
        <v>0</v>
      </c>
      <c r="J356" s="94">
        <f t="shared" si="70"/>
        <v>0</v>
      </c>
      <c r="K356" s="20">
        <f t="shared" si="71"/>
        <v>0</v>
      </c>
      <c r="L356" s="94">
        <f t="shared" si="72"/>
        <v>0</v>
      </c>
      <c r="M356" s="78">
        <f t="shared" si="73"/>
        <v>0</v>
      </c>
      <c r="N356" s="79">
        <f t="shared" si="74"/>
        <v>0</v>
      </c>
      <c r="O356" s="94">
        <f t="shared" si="75"/>
        <v>0</v>
      </c>
      <c r="P356" s="106">
        <f t="shared" si="76"/>
        <v>0</v>
      </c>
      <c r="Q356" s="94">
        <f t="shared" si="65"/>
        <v>0</v>
      </c>
      <c r="R356" s="78">
        <f t="shared" si="66"/>
        <v>0</v>
      </c>
      <c r="S356" s="84">
        <f t="shared" si="67"/>
        <v>0</v>
      </c>
      <c r="T356"/>
      <c r="U356"/>
      <c r="V356"/>
    </row>
    <row r="357" spans="1:22" s="16" customFormat="1" ht="15" customHeight="1" outlineLevel="1" x14ac:dyDescent="0.45">
      <c r="A357"/>
      <c r="B357" s="75"/>
      <c r="C357" s="78"/>
      <c r="D357" s="105"/>
      <c r="E357" s="106"/>
      <c r="F357" s="71"/>
      <c r="G357" s="78">
        <f t="shared" si="77"/>
        <v>0</v>
      </c>
      <c r="H357" s="3">
        <f t="shared" si="68"/>
        <v>0</v>
      </c>
      <c r="I357" s="20">
        <f t="shared" si="69"/>
        <v>0</v>
      </c>
      <c r="J357" s="94">
        <f t="shared" si="70"/>
        <v>0</v>
      </c>
      <c r="K357" s="20">
        <f t="shared" si="71"/>
        <v>0</v>
      </c>
      <c r="L357" s="94">
        <f t="shared" si="72"/>
        <v>0</v>
      </c>
      <c r="M357" s="78">
        <f t="shared" si="73"/>
        <v>0</v>
      </c>
      <c r="N357" s="79">
        <f t="shared" si="74"/>
        <v>0</v>
      </c>
      <c r="O357" s="94">
        <f t="shared" si="75"/>
        <v>0</v>
      </c>
      <c r="P357" s="106">
        <f t="shared" si="76"/>
        <v>0</v>
      </c>
      <c r="Q357" s="94">
        <f t="shared" si="65"/>
        <v>0</v>
      </c>
      <c r="R357" s="78">
        <f t="shared" si="66"/>
        <v>0</v>
      </c>
      <c r="S357" s="84">
        <f t="shared" si="67"/>
        <v>0</v>
      </c>
      <c r="T357"/>
      <c r="U357"/>
      <c r="V357"/>
    </row>
    <row r="358" spans="1:22" s="16" customFormat="1" ht="15" customHeight="1" outlineLevel="1" x14ac:dyDescent="0.45">
      <c r="A358"/>
      <c r="B358" s="75"/>
      <c r="C358" s="78"/>
      <c r="D358" s="105"/>
      <c r="E358" s="106"/>
      <c r="F358" s="71"/>
      <c r="G358" s="78">
        <f t="shared" si="77"/>
        <v>0</v>
      </c>
      <c r="H358" s="3">
        <f t="shared" si="68"/>
        <v>0</v>
      </c>
      <c r="I358" s="20">
        <f t="shared" si="69"/>
        <v>0</v>
      </c>
      <c r="J358" s="94">
        <f t="shared" si="70"/>
        <v>0</v>
      </c>
      <c r="K358" s="20">
        <f t="shared" si="71"/>
        <v>0</v>
      </c>
      <c r="L358" s="94">
        <f t="shared" si="72"/>
        <v>0</v>
      </c>
      <c r="M358" s="78">
        <f t="shared" si="73"/>
        <v>0</v>
      </c>
      <c r="N358" s="79">
        <f t="shared" si="74"/>
        <v>0</v>
      </c>
      <c r="O358" s="94">
        <f t="shared" si="75"/>
        <v>0</v>
      </c>
      <c r="P358" s="106">
        <f t="shared" si="76"/>
        <v>0</v>
      </c>
      <c r="Q358" s="94">
        <f t="shared" si="65"/>
        <v>0</v>
      </c>
      <c r="R358" s="78">
        <f t="shared" si="66"/>
        <v>0</v>
      </c>
      <c r="S358" s="84">
        <f t="shared" si="67"/>
        <v>0</v>
      </c>
      <c r="T358"/>
      <c r="U358"/>
      <c r="V358"/>
    </row>
    <row r="359" spans="1:22" s="16" customFormat="1" ht="15" customHeight="1" outlineLevel="1" x14ac:dyDescent="0.45">
      <c r="A359"/>
      <c r="B359" s="75"/>
      <c r="C359" s="78"/>
      <c r="D359" s="105"/>
      <c r="E359" s="106"/>
      <c r="F359" s="71"/>
      <c r="G359" s="78">
        <f t="shared" si="77"/>
        <v>0</v>
      </c>
      <c r="H359" s="3">
        <f t="shared" si="68"/>
        <v>0</v>
      </c>
      <c r="I359" s="20">
        <f t="shared" si="69"/>
        <v>0</v>
      </c>
      <c r="J359" s="94">
        <f t="shared" si="70"/>
        <v>0</v>
      </c>
      <c r="K359" s="20">
        <f t="shared" si="71"/>
        <v>0</v>
      </c>
      <c r="L359" s="94">
        <f t="shared" si="72"/>
        <v>0</v>
      </c>
      <c r="M359" s="78">
        <f t="shared" si="73"/>
        <v>0</v>
      </c>
      <c r="N359" s="79">
        <f t="shared" si="74"/>
        <v>0</v>
      </c>
      <c r="O359" s="94">
        <f t="shared" si="75"/>
        <v>0</v>
      </c>
      <c r="P359" s="106">
        <f t="shared" si="76"/>
        <v>0</v>
      </c>
      <c r="Q359" s="94">
        <f t="shared" si="65"/>
        <v>0</v>
      </c>
      <c r="R359" s="78">
        <f t="shared" si="66"/>
        <v>0</v>
      </c>
      <c r="S359" s="84">
        <f t="shared" si="67"/>
        <v>0</v>
      </c>
      <c r="T359"/>
      <c r="U359"/>
      <c r="V359"/>
    </row>
    <row r="360" spans="1:22" s="16" customFormat="1" ht="15" customHeight="1" outlineLevel="1" x14ac:dyDescent="0.45">
      <c r="A360"/>
      <c r="B360" s="75"/>
      <c r="C360" s="78"/>
      <c r="D360" s="105"/>
      <c r="E360" s="106"/>
      <c r="F360" s="71"/>
      <c r="G360" s="78">
        <f t="shared" si="77"/>
        <v>0</v>
      </c>
      <c r="H360" s="3">
        <f t="shared" si="68"/>
        <v>0</v>
      </c>
      <c r="I360" s="20">
        <f t="shared" si="69"/>
        <v>0</v>
      </c>
      <c r="J360" s="94">
        <f t="shared" si="70"/>
        <v>0</v>
      </c>
      <c r="K360" s="20">
        <f t="shared" si="71"/>
        <v>0</v>
      </c>
      <c r="L360" s="94">
        <f t="shared" si="72"/>
        <v>0</v>
      </c>
      <c r="M360" s="78">
        <f t="shared" si="73"/>
        <v>0</v>
      </c>
      <c r="N360" s="79">
        <f t="shared" si="74"/>
        <v>0</v>
      </c>
      <c r="O360" s="94">
        <f t="shared" si="75"/>
        <v>0</v>
      </c>
      <c r="P360" s="106">
        <f t="shared" si="76"/>
        <v>0</v>
      </c>
      <c r="Q360" s="94">
        <f t="shared" si="65"/>
        <v>0</v>
      </c>
      <c r="R360" s="78">
        <f t="shared" si="66"/>
        <v>0</v>
      </c>
      <c r="S360" s="84">
        <f t="shared" si="67"/>
        <v>0</v>
      </c>
      <c r="T360"/>
      <c r="U360"/>
      <c r="V360"/>
    </row>
    <row r="361" spans="1:22" s="16" customFormat="1" ht="15" customHeight="1" outlineLevel="1" x14ac:dyDescent="0.45">
      <c r="A361"/>
      <c r="B361" s="75"/>
      <c r="C361" s="78"/>
      <c r="D361" s="105"/>
      <c r="E361" s="106"/>
      <c r="F361" s="71"/>
      <c r="G361" s="78">
        <f t="shared" si="77"/>
        <v>0</v>
      </c>
      <c r="H361" s="3">
        <f t="shared" si="68"/>
        <v>0</v>
      </c>
      <c r="I361" s="20">
        <f t="shared" si="69"/>
        <v>0</v>
      </c>
      <c r="J361" s="94">
        <f t="shared" si="70"/>
        <v>0</v>
      </c>
      <c r="K361" s="20">
        <f t="shared" si="71"/>
        <v>0</v>
      </c>
      <c r="L361" s="94">
        <f t="shared" si="72"/>
        <v>0</v>
      </c>
      <c r="M361" s="78">
        <f t="shared" si="73"/>
        <v>0</v>
      </c>
      <c r="N361" s="79">
        <f t="shared" si="74"/>
        <v>0</v>
      </c>
      <c r="O361" s="94">
        <f t="shared" si="75"/>
        <v>0</v>
      </c>
      <c r="P361" s="106">
        <f t="shared" si="76"/>
        <v>0</v>
      </c>
      <c r="Q361" s="94">
        <f t="shared" si="65"/>
        <v>0</v>
      </c>
      <c r="R361" s="78">
        <f t="shared" si="66"/>
        <v>0</v>
      </c>
      <c r="S361" s="84">
        <f t="shared" si="67"/>
        <v>0</v>
      </c>
      <c r="T361"/>
      <c r="U361"/>
      <c r="V361"/>
    </row>
    <row r="362" spans="1:22" s="16" customFormat="1" ht="15" customHeight="1" outlineLevel="1" x14ac:dyDescent="0.45">
      <c r="A362"/>
      <c r="B362" s="75"/>
      <c r="C362" s="78"/>
      <c r="D362" s="105"/>
      <c r="E362" s="106"/>
      <c r="F362" s="71"/>
      <c r="G362" s="78">
        <f t="shared" si="77"/>
        <v>0</v>
      </c>
      <c r="H362" s="3">
        <f t="shared" si="68"/>
        <v>0</v>
      </c>
      <c r="I362" s="20">
        <f t="shared" si="69"/>
        <v>0</v>
      </c>
      <c r="J362" s="94">
        <f t="shared" si="70"/>
        <v>0</v>
      </c>
      <c r="K362" s="20">
        <f t="shared" si="71"/>
        <v>0</v>
      </c>
      <c r="L362" s="94">
        <f t="shared" si="72"/>
        <v>0</v>
      </c>
      <c r="M362" s="78">
        <f t="shared" si="73"/>
        <v>0</v>
      </c>
      <c r="N362" s="79">
        <f t="shared" si="74"/>
        <v>0</v>
      </c>
      <c r="O362" s="94">
        <f t="shared" si="75"/>
        <v>0</v>
      </c>
      <c r="P362" s="106">
        <f t="shared" si="76"/>
        <v>0</v>
      </c>
      <c r="Q362" s="94">
        <f t="shared" si="65"/>
        <v>0</v>
      </c>
      <c r="R362" s="78">
        <f t="shared" si="66"/>
        <v>0</v>
      </c>
      <c r="S362" s="84">
        <f t="shared" si="67"/>
        <v>0</v>
      </c>
      <c r="T362"/>
      <c r="U362"/>
      <c r="V362"/>
    </row>
    <row r="363" spans="1:22" s="16" customFormat="1" ht="15" customHeight="1" outlineLevel="1" x14ac:dyDescent="0.45">
      <c r="A363"/>
      <c r="B363" s="75"/>
      <c r="C363" s="78"/>
      <c r="D363" s="105"/>
      <c r="E363" s="106"/>
      <c r="F363" s="71"/>
      <c r="G363" s="78">
        <f t="shared" si="77"/>
        <v>0</v>
      </c>
      <c r="H363" s="3">
        <f t="shared" si="68"/>
        <v>0</v>
      </c>
      <c r="I363" s="20">
        <f t="shared" si="69"/>
        <v>0</v>
      </c>
      <c r="J363" s="94">
        <f t="shared" si="70"/>
        <v>0</v>
      </c>
      <c r="K363" s="20">
        <f t="shared" si="71"/>
        <v>0</v>
      </c>
      <c r="L363" s="94">
        <f t="shared" si="72"/>
        <v>0</v>
      </c>
      <c r="M363" s="78">
        <f t="shared" si="73"/>
        <v>0</v>
      </c>
      <c r="N363" s="79">
        <f t="shared" si="74"/>
        <v>0</v>
      </c>
      <c r="O363" s="94">
        <f t="shared" si="75"/>
        <v>0</v>
      </c>
      <c r="P363" s="106">
        <f t="shared" si="76"/>
        <v>0</v>
      </c>
      <c r="Q363" s="94">
        <f t="shared" si="65"/>
        <v>0</v>
      </c>
      <c r="R363" s="78">
        <f t="shared" si="66"/>
        <v>0</v>
      </c>
      <c r="S363" s="84">
        <f t="shared" si="67"/>
        <v>0</v>
      </c>
      <c r="T363"/>
      <c r="U363"/>
      <c r="V363"/>
    </row>
    <row r="364" spans="1:22" s="16" customFormat="1" ht="19.5" customHeight="1" x14ac:dyDescent="0.45">
      <c r="A364"/>
      <c r="B364" s="76"/>
      <c r="C364" s="122"/>
      <c r="D364" s="107"/>
      <c r="E364" s="108"/>
      <c r="F364" s="64"/>
      <c r="G364" s="25"/>
      <c r="H364" s="3"/>
      <c r="I364" s="20"/>
      <c r="J364" s="94"/>
      <c r="K364" s="20"/>
      <c r="L364" s="94"/>
      <c r="M364" s="78"/>
      <c r="N364" s="79"/>
      <c r="O364" s="94"/>
      <c r="P364" s="106"/>
      <c r="Q364" s="94"/>
      <c r="R364" s="78"/>
      <c r="S364" s="84"/>
      <c r="T364"/>
      <c r="U364"/>
      <c r="V364"/>
    </row>
    <row r="365" spans="1:22" s="16" customFormat="1" ht="18.600000000000001" thickBot="1" x14ac:dyDescent="0.5">
      <c r="A365"/>
      <c r="B365" s="77" t="s">
        <v>11</v>
      </c>
      <c r="C365" s="98">
        <f t="shared" ref="C365:S365" si="78">SUM(C4:C363)</f>
        <v>0</v>
      </c>
      <c r="D365" s="109">
        <f t="shared" si="78"/>
        <v>0</v>
      </c>
      <c r="E365" s="110">
        <f t="shared" si="78"/>
        <v>0</v>
      </c>
      <c r="F365" s="65">
        <f t="shared" si="78"/>
        <v>0</v>
      </c>
      <c r="G365" s="73">
        <f>+G363</f>
        <v>0</v>
      </c>
      <c r="H365" s="72">
        <f t="shared" si="78"/>
        <v>0</v>
      </c>
      <c r="I365" s="113">
        <f t="shared" si="78"/>
        <v>0</v>
      </c>
      <c r="J365" s="98">
        <f t="shared" si="78"/>
        <v>0</v>
      </c>
      <c r="K365" s="113">
        <f t="shared" si="78"/>
        <v>0</v>
      </c>
      <c r="L365" s="98">
        <f t="shared" si="78"/>
        <v>0</v>
      </c>
      <c r="M365" s="73">
        <f t="shared" si="78"/>
        <v>0</v>
      </c>
      <c r="N365" s="80">
        <f t="shared" si="78"/>
        <v>0</v>
      </c>
      <c r="O365" s="98">
        <f t="shared" si="78"/>
        <v>0</v>
      </c>
      <c r="P365" s="110">
        <f t="shared" si="78"/>
        <v>0</v>
      </c>
      <c r="Q365" s="98">
        <f t="shared" si="78"/>
        <v>0</v>
      </c>
      <c r="R365" s="98">
        <f t="shared" si="78"/>
        <v>0</v>
      </c>
      <c r="S365" s="61">
        <f t="shared" si="78"/>
        <v>0</v>
      </c>
      <c r="T365"/>
      <c r="U365"/>
      <c r="V365"/>
    </row>
    <row r="366" spans="1:22" ht="18.600000000000001" thickBot="1" x14ac:dyDescent="0.35">
      <c r="C366" s="135">
        <f>+C365</f>
        <v>0</v>
      </c>
      <c r="D366" s="135">
        <f>SUMIF(D4:D364,"&gt;0")</f>
        <v>0</v>
      </c>
      <c r="H366" s="135">
        <f>+H365</f>
        <v>0</v>
      </c>
      <c r="I366" s="135">
        <f>SUMIF(I4:I364,"&lt;0")</f>
        <v>0</v>
      </c>
    </row>
  </sheetData>
  <mergeCells count="3">
    <mergeCell ref="C1:G1"/>
    <mergeCell ref="H1:M1"/>
    <mergeCell ref="N1:S1"/>
  </mergeCells>
  <pageMargins left="0.7" right="0.7" top="0.75" bottom="0.75" header="0.3" footer="0.3"/>
  <pageSetup paperSize="9" orientation="portrait" r:id="rId1"/>
  <ignoredErrors>
    <ignoredError sqref="H5:J5 L5 N5:P5 G365" formula="1"/>
    <ignoredError sqref="F365 D36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Y377"/>
  <sheetViews>
    <sheetView showGridLines="0" zoomScale="70" zoomScaleNormal="70" workbookViewId="0">
      <pane xSplit="13" ySplit="14" topLeftCell="N15" activePane="bottomRight" state="frozen"/>
      <selection pane="topRight" activeCell="M1" sqref="M1"/>
      <selection pane="bottomLeft" activeCell="A15" sqref="A15"/>
      <selection pane="bottomRight" activeCell="N15" sqref="N15"/>
    </sheetView>
  </sheetViews>
  <sheetFormatPr defaultColWidth="17.6640625" defaultRowHeight="18" outlineLevelRow="1" outlineLevelCol="1" x14ac:dyDescent="0.45"/>
  <cols>
    <col min="1" max="1" width="1.109375" customWidth="1"/>
    <col min="2" max="2" width="17.6640625" hidden="1" customWidth="1" outlineLevel="1"/>
    <col min="3" max="3" width="17.6640625" style="15" hidden="1" customWidth="1" outlineLevel="1"/>
    <col min="4" max="13" width="17.6640625" hidden="1" customWidth="1" outlineLevel="1"/>
    <col min="14" max="14" width="11" style="4" customWidth="1" collapsed="1"/>
    <col min="15" max="15" width="23.44140625" bestFit="1" customWidth="1"/>
    <col min="16" max="19" width="17.6640625" customWidth="1"/>
    <col min="20" max="20" width="17.6640625" style="13" customWidth="1"/>
    <col min="21" max="24" width="17.6640625" customWidth="1"/>
    <col min="25" max="25" width="17.6640625" style="16" customWidth="1"/>
  </cols>
  <sheetData>
    <row r="1" spans="1:24" ht="19.5" customHeight="1" x14ac:dyDescent="0.45">
      <c r="A1" s="42" t="s">
        <v>8</v>
      </c>
      <c r="B1" s="42"/>
      <c r="O1" s="1"/>
    </row>
    <row r="2" spans="1:24" ht="26.4" x14ac:dyDescent="0.45">
      <c r="A2" s="127"/>
      <c r="B2" s="127"/>
      <c r="O2" s="44"/>
    </row>
    <row r="3" spans="1:24" ht="19.8" thickBot="1" x14ac:dyDescent="0.5">
      <c r="A3" s="43"/>
      <c r="B3" s="43"/>
    </row>
    <row r="4" spans="1:24" ht="36.75" hidden="1" customHeight="1" outlineLevel="1" x14ac:dyDescent="0.45">
      <c r="O4" s="21" t="s">
        <v>19</v>
      </c>
      <c r="P4" s="48"/>
      <c r="Q4" s="5"/>
      <c r="R4" s="5"/>
      <c r="S4" s="6"/>
    </row>
    <row r="5" spans="1:24" hidden="1" outlineLevel="1" x14ac:dyDescent="0.45">
      <c r="O5" s="2" t="s">
        <v>22</v>
      </c>
      <c r="P5" s="49"/>
      <c r="Q5" s="145"/>
      <c r="R5" s="145"/>
      <c r="S5" s="146"/>
    </row>
    <row r="6" spans="1:24" ht="19.2" hidden="1" outlineLevel="1" x14ac:dyDescent="0.45">
      <c r="A6" s="43"/>
      <c r="B6" s="43"/>
      <c r="O6" s="2" t="s">
        <v>21</v>
      </c>
      <c r="P6" s="67"/>
      <c r="Q6" s="68"/>
      <c r="R6" s="68"/>
      <c r="S6" s="69"/>
    </row>
    <row r="7" spans="1:24" ht="37.5" hidden="1" customHeight="1" outlineLevel="1" x14ac:dyDescent="0.45">
      <c r="O7" s="22" t="s">
        <v>6</v>
      </c>
      <c r="P7" s="50"/>
      <c r="Q7" s="7"/>
      <c r="R7" s="7"/>
      <c r="S7" s="8"/>
    </row>
    <row r="8" spans="1:24" ht="36" hidden="1" outlineLevel="1" x14ac:dyDescent="0.45">
      <c r="O8" s="22" t="s">
        <v>5</v>
      </c>
      <c r="P8" s="129"/>
      <c r="Q8" s="7"/>
      <c r="R8" s="7"/>
      <c r="S8" s="8"/>
    </row>
    <row r="9" spans="1:24" ht="37.5" hidden="1" customHeight="1" outlineLevel="1" x14ac:dyDescent="0.45">
      <c r="O9" s="23" t="s">
        <v>3</v>
      </c>
      <c r="P9" s="51"/>
      <c r="Q9" s="9"/>
      <c r="R9" s="9"/>
      <c r="S9" s="10"/>
    </row>
    <row r="10" spans="1:24" ht="38.25" hidden="1" customHeight="1" outlineLevel="1" x14ac:dyDescent="0.45">
      <c r="O10" s="23" t="s">
        <v>13</v>
      </c>
      <c r="P10" s="52"/>
      <c r="Q10" s="149" t="s">
        <v>7</v>
      </c>
      <c r="R10" s="150"/>
      <c r="S10" s="53" t="str">
        <f>IF(P10="","",(YEAR(P$10)*1000+MONTH(P$10)))</f>
        <v/>
      </c>
    </row>
    <row r="11" spans="1:24" ht="57" hidden="1" customHeight="1" outlineLevel="1" thickBot="1" x14ac:dyDescent="0.5">
      <c r="O11" s="24" t="s">
        <v>4</v>
      </c>
      <c r="P11" s="41">
        <f>Q$376</f>
        <v>0</v>
      </c>
      <c r="Q11" s="151" t="s">
        <v>9</v>
      </c>
      <c r="R11" s="152"/>
      <c r="S11" s="47">
        <f>IFERROR(P$4/P$11,0)</f>
        <v>0</v>
      </c>
    </row>
    <row r="12" spans="1:24" ht="18.600000000000001" collapsed="1" thickBot="1" x14ac:dyDescent="0.5">
      <c r="C12" s="136" t="s">
        <v>25</v>
      </c>
      <c r="D12" s="137"/>
      <c r="E12" s="137"/>
      <c r="F12" s="137"/>
      <c r="G12" s="138"/>
      <c r="H12" s="139" t="s">
        <v>24</v>
      </c>
      <c r="I12" s="140"/>
      <c r="J12" s="140"/>
      <c r="K12" s="140"/>
      <c r="L12" s="140"/>
      <c r="M12" s="141"/>
      <c r="W12" s="11" t="str">
        <f>IF(W$376=P$4,"OK","Check")</f>
        <v>OK</v>
      </c>
      <c r="X12" s="11" t="str">
        <f>IF(S$10="","N/A",IF(X$376=P$4,"OK","Check"))</f>
        <v>N/A</v>
      </c>
    </row>
    <row r="13" spans="1:24" ht="18.600000000000001" thickBot="1" x14ac:dyDescent="0.5">
      <c r="C13" s="32" t="s">
        <v>32</v>
      </c>
      <c r="D13" s="95">
        <v>18060000</v>
      </c>
      <c r="E13" s="95"/>
      <c r="F13" s="33">
        <v>88060000</v>
      </c>
      <c r="G13" s="95">
        <v>18061000</v>
      </c>
      <c r="H13" s="99">
        <v>18060001</v>
      </c>
      <c r="I13" s="100">
        <v>18060000</v>
      </c>
      <c r="J13" s="93">
        <v>88060000</v>
      </c>
      <c r="K13" s="100">
        <v>18061000</v>
      </c>
      <c r="L13" s="96">
        <v>91000001</v>
      </c>
      <c r="M13" s="83">
        <v>15070002</v>
      </c>
      <c r="N13" s="11"/>
      <c r="O13" s="1"/>
      <c r="P13" s="4"/>
      <c r="Q13" s="14" t="str">
        <f>IF(Q$376=P$11,"OK","Check")</f>
        <v>OK</v>
      </c>
      <c r="R13" s="14"/>
      <c r="S13" s="14"/>
      <c r="T13" s="12" t="str">
        <f>IF(T$376=P$4,"OK","Check")</f>
        <v>OK</v>
      </c>
      <c r="U13" s="11" t="str">
        <f>IF(U$376=P$4,"OK","Check")</f>
        <v>OK</v>
      </c>
      <c r="V13" s="11"/>
      <c r="W13" s="147" t="s">
        <v>23</v>
      </c>
      <c r="X13" s="148"/>
    </row>
    <row r="14" spans="1:24" ht="52.2" x14ac:dyDescent="0.45">
      <c r="C14" s="86" t="s">
        <v>15</v>
      </c>
      <c r="D14" s="88" t="s">
        <v>14</v>
      </c>
      <c r="E14" s="88" t="s">
        <v>28</v>
      </c>
      <c r="F14" s="89" t="s">
        <v>26</v>
      </c>
      <c r="G14" s="87" t="s">
        <v>2</v>
      </c>
      <c r="H14" s="101" t="s">
        <v>27</v>
      </c>
      <c r="I14" s="102" t="s">
        <v>14</v>
      </c>
      <c r="J14" s="114" t="s">
        <v>26</v>
      </c>
      <c r="K14" s="102" t="s">
        <v>2</v>
      </c>
      <c r="L14" s="116" t="s">
        <v>33</v>
      </c>
      <c r="M14" s="92" t="s">
        <v>30</v>
      </c>
      <c r="O14" s="32" t="s">
        <v>1</v>
      </c>
      <c r="P14" s="33" t="s">
        <v>0</v>
      </c>
      <c r="Q14" s="33" t="s">
        <v>10</v>
      </c>
      <c r="R14" s="33" t="s">
        <v>15</v>
      </c>
      <c r="S14" s="33" t="s">
        <v>14</v>
      </c>
      <c r="T14" s="34" t="s">
        <v>16</v>
      </c>
      <c r="U14" s="33" t="s">
        <v>17</v>
      </c>
      <c r="V14" s="33" t="s">
        <v>12</v>
      </c>
      <c r="W14" s="54" t="s">
        <v>20</v>
      </c>
      <c r="X14" s="55" t="s">
        <v>18</v>
      </c>
    </row>
    <row r="15" spans="1:24" x14ac:dyDescent="0.45">
      <c r="C15" s="123"/>
      <c r="D15" s="103"/>
      <c r="E15" s="130"/>
      <c r="F15" s="70"/>
      <c r="G15" s="112" t="str">
        <f>IF(D15&lt;0,-D15-F15,IF(F15="","",-F15))</f>
        <v/>
      </c>
      <c r="H15" s="3">
        <f>IF(D15&gt;0,D15,0)</f>
        <v>0</v>
      </c>
      <c r="I15" s="20" t="str">
        <f>IF(D15="","",-D15)</f>
        <v/>
      </c>
      <c r="J15" s="94" t="str">
        <f>IF(F15="","",-F15)</f>
        <v/>
      </c>
      <c r="K15" s="20" t="str">
        <f>IF(AND(I15&gt;0,I15&lt;&gt;""),-I15-J15,IF(J15="","",-J15))</f>
        <v/>
      </c>
      <c r="L15" s="94" t="str">
        <f>IF(C15="","",+C15)</f>
        <v/>
      </c>
      <c r="M15" s="84" t="str">
        <f>IF(L15="","",-L15)</f>
        <v/>
      </c>
      <c r="O15" s="35" t="str">
        <f>IF(P$7="","",P$7)</f>
        <v/>
      </c>
      <c r="P15" s="26" t="str">
        <f>IF(O15="","",IF(O15&lt;=P$8,IF((YEAR(O15)*1000+MONTH(O15))&lt;P$9,P$9,(YEAR(O15)*1000+MONTH(O15))),""))</f>
        <v/>
      </c>
      <c r="Q15" s="29" t="str">
        <f>IF(P15&lt;&gt;"",IF(EOMONTH(O15,0)&lt;&gt;EOMONTH(P$8,0),DAY(EOMONTH(O15,0)-DAY(O15)+1)/DAY(EOMONTH(O15,0)),DAY(P$8)/DAY(EOMONTH(P$8,0))),"")</f>
        <v/>
      </c>
      <c r="R15" s="18">
        <f>-P$4</f>
        <v>0</v>
      </c>
      <c r="S15" s="18" t="str">
        <f>IF(O15="","",IF(P15&lt;=S$10,IF(P15=S$10,R15,-R15),""))</f>
        <v/>
      </c>
      <c r="T15" s="18" t="str">
        <f>IF(P15="","",IF(ISERROR(S$11*Q15),0,(S$11)*Q15))</f>
        <v/>
      </c>
      <c r="U15" s="56" t="str">
        <f>IF(Q15&gt;0,T15,0)</f>
        <v/>
      </c>
      <c r="V15" s="56" t="str">
        <f>IF(Q15&gt;0,T15,0)</f>
        <v/>
      </c>
      <c r="W15" s="62" t="str">
        <f>IF(U15="","",IF(T16="",P$4-SUM(W14:W14),IF((YEAR(O15)*1000+MONTH(O15))&gt;=P$9,IF((YEAR(O15)*1000+MONTH(O15))=P$9,ROUND(U15,0),ROUND(T15,0)),"")))</f>
        <v/>
      </c>
      <c r="X15" s="59" t="str">
        <f>IF(S$10="","",IF(P15&lt;=S$10,IF(P15=S$10,P$4-SUM(W$14:W14),W15),""))</f>
        <v/>
      </c>
    </row>
    <row r="16" spans="1:24" x14ac:dyDescent="0.45">
      <c r="C16" s="124"/>
      <c r="D16" s="105"/>
      <c r="E16" s="131"/>
      <c r="F16" s="71"/>
      <c r="G16" s="78" t="str">
        <f>IF(D16&lt;0,-D16-F16,IF(F16="","",-F16))</f>
        <v/>
      </c>
      <c r="H16" s="3">
        <f>IF(D16&gt;0,D16,0)</f>
        <v>0</v>
      </c>
      <c r="I16" s="20" t="str">
        <f>IF(D16="","",-D16)</f>
        <v/>
      </c>
      <c r="J16" s="94" t="str">
        <f t="shared" ref="J16:J79" si="0">IF(F16="","",-F16)</f>
        <v/>
      </c>
      <c r="K16" s="20" t="str">
        <f>IF(AND(I16&gt;0,I16&lt;&gt;""),-I16-J16,IF(J16="","",-J16))</f>
        <v/>
      </c>
      <c r="L16" s="94" t="str">
        <f>IF(C16="","",+C16)</f>
        <v/>
      </c>
      <c r="M16" s="84" t="str">
        <f>IF(L16="","",-L16)</f>
        <v/>
      </c>
      <c r="O16" s="36" t="str">
        <f>IF(O15="","",IF(EOMONTH(O15,0)+1&gt;P$8,"",EOMONTH(O15,0)+1))</f>
        <v/>
      </c>
      <c r="P16" s="27" t="str">
        <f>IF(O16="","",IF(O16&lt;=P$8,IF((YEAR(O16)*1000+MONTH(O16))&lt;P$9,P$9,(YEAR(O16)*1000+MONTH(O16))),""))</f>
        <v/>
      </c>
      <c r="Q16" s="30" t="str">
        <f>IF(P16&lt;&gt;"",IF(EOMONTH(O16,0)&lt;&gt;EOMONTH(P$8,0),DAY(EOMONTH(O16,0)-DAY(O16)+1)/DAY(EOMONTH(O16,0)),IF(DAY(EOMONTH(P$7,0))-DAY(P$7)+1+DAY(P$8)=DAY(EOMONTH(P$7,0)),1-Q$15,DAY(P$8)/DAY(EOMONTH(P$8,0)))),"")</f>
        <v/>
      </c>
      <c r="R16" s="19"/>
      <c r="S16" s="19" t="str">
        <f>IF(O16="","",IF(P16&lt;=S$10,IF(P16=S$10,R$15,-R16),""))</f>
        <v/>
      </c>
      <c r="T16" s="19" t="str">
        <f>IF(P16="","",IF(ISERROR(S$11*Q16),0,(S$11)*Q16))</f>
        <v/>
      </c>
      <c r="U16" s="57" t="str">
        <f>IF(Q16="","",IF(Q16&gt;0,T16+U15,-U15))</f>
        <v/>
      </c>
      <c r="V16" s="57" t="str">
        <f>IF(S16="","",IF(P16&lt;S$10,T16+U15,-V15))</f>
        <v/>
      </c>
      <c r="W16" s="63" t="str">
        <f>IF(U16="","",IF(T17="",P$4-SUM(W$14:W15),IF((YEAR(O16)*1000+MONTH(O16))&gt;=P$9,IF((YEAR(O16)*1000+MONTH(O16))=P$9,ROUND(U16,0),ROUND(T16,0)),"")))</f>
        <v/>
      </c>
      <c r="X16" s="59" t="str">
        <f>IF(S$10="","",IF(P16&lt;=S$10,IF(P16=S$10,P$4-SUM(W$14:W15),W16),""))</f>
        <v/>
      </c>
    </row>
    <row r="17" spans="3:24" x14ac:dyDescent="0.45">
      <c r="C17" s="124"/>
      <c r="D17" s="105"/>
      <c r="E17" s="131"/>
      <c r="F17" s="71"/>
      <c r="G17" s="78" t="str">
        <f t="shared" ref="G17:G80" si="1">IF(D17&lt;0,-D17-F17,IF(F17="","",-F17))</f>
        <v/>
      </c>
      <c r="H17" s="3">
        <f t="shared" ref="H17:H80" si="2">IF(D17&gt;0,D17,0)</f>
        <v>0</v>
      </c>
      <c r="I17" s="20" t="str">
        <f t="shared" ref="I17:I80" si="3">IF(D17="","",-D17)</f>
        <v/>
      </c>
      <c r="J17" s="94" t="str">
        <f t="shared" si="0"/>
        <v/>
      </c>
      <c r="K17" s="20" t="str">
        <f t="shared" ref="K17:K80" si="4">IF(AND(I17&gt;0,I17&lt;&gt;""),-I17-J17,IF(J17="","",-J17))</f>
        <v/>
      </c>
      <c r="L17" s="94" t="str">
        <f t="shared" ref="L17:L80" si="5">IF(C17="","",+C17)</f>
        <v/>
      </c>
      <c r="M17" s="84" t="str">
        <f t="shared" ref="M17:M80" si="6">IF(L17="","",-L17)</f>
        <v/>
      </c>
      <c r="O17" s="36" t="str">
        <f t="shared" ref="O17:O80" si="7">IF(O16="","",IF(EOMONTH(O16,0)+1&gt;P$8,"",EOMONTH(O16,0)+1))</f>
        <v/>
      </c>
      <c r="P17" s="27" t="str">
        <f t="shared" ref="P17:P80" si="8">IF(O17="","",IF(O17&lt;=P$8,IF((YEAR(O17)*1000+MONTH(O17))&lt;P$9,P$9,(YEAR(O17)*1000+MONTH(O17))),""))</f>
        <v/>
      </c>
      <c r="Q17" s="30" t="str">
        <f t="shared" ref="Q17:Q80" si="9">IF(P17&lt;&gt;"",IF(EOMONTH(O17,0)&lt;&gt;EOMONTH(P$8,0),DAY(EOMONTH(O17,0)-DAY(O17)+1)/DAY(EOMONTH(O17,0)),IF(DAY(EOMONTH(P$7,0))-DAY(P$7)+1+DAY(P$8)=DAY(EOMONTH(P$7,0)),1-Q$15,DAY(P$8)/DAY(EOMONTH(P$8,0)))),"")</f>
        <v/>
      </c>
      <c r="R17" s="19"/>
      <c r="S17" s="19" t="str">
        <f t="shared" ref="S17:S80" si="10">IF(O17="","",IF(P17&lt;=S$10,IF(P17=S$10,R$15,-R17),""))</f>
        <v/>
      </c>
      <c r="T17" s="19" t="str">
        <f t="shared" ref="T17:T80" si="11">IF(P17="","",IF(ISERROR(S$11*Q17),0,(S$11)*Q17))</f>
        <v/>
      </c>
      <c r="U17" s="57" t="str">
        <f t="shared" ref="U17:U80" si="12">IF(Q17="","",IF(Q17&gt;0,T17+U16,-U16))</f>
        <v/>
      </c>
      <c r="V17" s="57" t="str">
        <f t="shared" ref="V17:V80" si="13">IF(S17="","",IF(P17&lt;S$10,T17+U16,-V16))</f>
        <v/>
      </c>
      <c r="W17" s="63" t="str">
        <f>IF(U17="","",IF(T18="",P$4-SUM(W$14:W16),IF((YEAR(O17)*1000+MONTH(O17))&gt;=P$9,IF((YEAR(O17)*1000+MONTH(O17))=P$9,ROUND(U17,0),ROUND(T17,0)),"")))</f>
        <v/>
      </c>
      <c r="X17" s="59" t="str">
        <f>IF(S$10="","",IF(P17&lt;=S$10,IF(P17=S$10,P$4-SUM(W$14:W16),W17),""))</f>
        <v/>
      </c>
    </row>
    <row r="18" spans="3:24" x14ac:dyDescent="0.45">
      <c r="C18" s="124"/>
      <c r="D18" s="105"/>
      <c r="E18" s="131"/>
      <c r="F18" s="71"/>
      <c r="G18" s="78" t="str">
        <f t="shared" si="1"/>
        <v/>
      </c>
      <c r="H18" s="3">
        <f t="shared" si="2"/>
        <v>0</v>
      </c>
      <c r="I18" s="20" t="str">
        <f t="shared" si="3"/>
        <v/>
      </c>
      <c r="J18" s="94" t="str">
        <f t="shared" si="0"/>
        <v/>
      </c>
      <c r="K18" s="20" t="str">
        <f t="shared" si="4"/>
        <v/>
      </c>
      <c r="L18" s="94" t="str">
        <f t="shared" si="5"/>
        <v/>
      </c>
      <c r="M18" s="84" t="str">
        <f t="shared" si="6"/>
        <v/>
      </c>
      <c r="O18" s="36" t="str">
        <f t="shared" si="7"/>
        <v/>
      </c>
      <c r="P18" s="27" t="str">
        <f t="shared" si="8"/>
        <v/>
      </c>
      <c r="Q18" s="30" t="str">
        <f t="shared" si="9"/>
        <v/>
      </c>
      <c r="R18" s="19"/>
      <c r="S18" s="19" t="str">
        <f t="shared" si="10"/>
        <v/>
      </c>
      <c r="T18" s="19" t="str">
        <f t="shared" si="11"/>
        <v/>
      </c>
      <c r="U18" s="57" t="str">
        <f t="shared" si="12"/>
        <v/>
      </c>
      <c r="V18" s="57" t="str">
        <f t="shared" si="13"/>
        <v/>
      </c>
      <c r="W18" s="63" t="str">
        <f>IF(U18="","",IF(T19="",P$4-SUM(W$14:W17),IF((YEAR(O18)*1000+MONTH(O18))&gt;=P$9,IF((YEAR(O18)*1000+MONTH(O18))=P$9,ROUND(U18,0),ROUND(T18,0)),"")))</f>
        <v/>
      </c>
      <c r="X18" s="59" t="str">
        <f>IF(S$10="","",IF(P18&lt;=S$10,IF(P18=S$10,P$4-SUM(W$14:W17),W18),""))</f>
        <v/>
      </c>
    </row>
    <row r="19" spans="3:24" x14ac:dyDescent="0.45">
      <c r="C19" s="124"/>
      <c r="D19" s="105"/>
      <c r="E19" s="131"/>
      <c r="F19" s="71"/>
      <c r="G19" s="78" t="str">
        <f t="shared" si="1"/>
        <v/>
      </c>
      <c r="H19" s="3">
        <f t="shared" si="2"/>
        <v>0</v>
      </c>
      <c r="I19" s="20" t="str">
        <f t="shared" si="3"/>
        <v/>
      </c>
      <c r="J19" s="94" t="str">
        <f t="shared" si="0"/>
        <v/>
      </c>
      <c r="K19" s="20" t="str">
        <f t="shared" si="4"/>
        <v/>
      </c>
      <c r="L19" s="94" t="str">
        <f t="shared" si="5"/>
        <v/>
      </c>
      <c r="M19" s="84" t="str">
        <f t="shared" si="6"/>
        <v/>
      </c>
      <c r="O19" s="36" t="str">
        <f t="shared" si="7"/>
        <v/>
      </c>
      <c r="P19" s="27" t="str">
        <f t="shared" si="8"/>
        <v/>
      </c>
      <c r="Q19" s="30" t="str">
        <f t="shared" si="9"/>
        <v/>
      </c>
      <c r="R19" s="19"/>
      <c r="S19" s="19" t="str">
        <f t="shared" si="10"/>
        <v/>
      </c>
      <c r="T19" s="19" t="str">
        <f t="shared" si="11"/>
        <v/>
      </c>
      <c r="U19" s="57" t="str">
        <f t="shared" si="12"/>
        <v/>
      </c>
      <c r="V19" s="57" t="str">
        <f t="shared" si="13"/>
        <v/>
      </c>
      <c r="W19" s="63" t="str">
        <f>IF(U19="","",IF(T20="",P$4-SUM(W$14:W18),IF((YEAR(O19)*1000+MONTH(O19))&gt;=P$9,IF((YEAR(O19)*1000+MONTH(O19))=P$9,ROUND(U19,0),ROUND(T19,0)),"")))</f>
        <v/>
      </c>
      <c r="X19" s="59" t="str">
        <f>IF(S$10="","",IF(P19&lt;=S$10,IF(P19=S$10,P$4-SUM(W$14:W18),W19),""))</f>
        <v/>
      </c>
    </row>
    <row r="20" spans="3:24" x14ac:dyDescent="0.45">
      <c r="C20" s="124"/>
      <c r="D20" s="105"/>
      <c r="E20" s="131"/>
      <c r="F20" s="71"/>
      <c r="G20" s="78" t="str">
        <f t="shared" si="1"/>
        <v/>
      </c>
      <c r="H20" s="3">
        <f t="shared" si="2"/>
        <v>0</v>
      </c>
      <c r="I20" s="20" t="str">
        <f t="shared" si="3"/>
        <v/>
      </c>
      <c r="J20" s="94" t="str">
        <f t="shared" si="0"/>
        <v/>
      </c>
      <c r="K20" s="20" t="str">
        <f t="shared" si="4"/>
        <v/>
      </c>
      <c r="L20" s="94" t="str">
        <f t="shared" si="5"/>
        <v/>
      </c>
      <c r="M20" s="84" t="str">
        <f t="shared" si="6"/>
        <v/>
      </c>
      <c r="O20" s="36" t="str">
        <f t="shared" si="7"/>
        <v/>
      </c>
      <c r="P20" s="27" t="str">
        <f t="shared" si="8"/>
        <v/>
      </c>
      <c r="Q20" s="30" t="str">
        <f t="shared" si="9"/>
        <v/>
      </c>
      <c r="R20" s="19"/>
      <c r="S20" s="19" t="str">
        <f t="shared" si="10"/>
        <v/>
      </c>
      <c r="T20" s="19" t="str">
        <f t="shared" si="11"/>
        <v/>
      </c>
      <c r="U20" s="57" t="str">
        <f t="shared" si="12"/>
        <v/>
      </c>
      <c r="V20" s="57" t="str">
        <f t="shared" si="13"/>
        <v/>
      </c>
      <c r="W20" s="63" t="str">
        <f>IF(U20="","",IF(T21="",P$4-SUM(W$14:W19),IF((YEAR(O20)*1000+MONTH(O20))&gt;=P$9,IF((YEAR(O20)*1000+MONTH(O20))=P$9,ROUND(U20,0),ROUND(T20,0)),"")))</f>
        <v/>
      </c>
      <c r="X20" s="59" t="str">
        <f>IF(S$10="","",IF(P20&lt;=S$10,IF(P20=S$10,P$4-SUM(W$14:W19),W20),""))</f>
        <v/>
      </c>
    </row>
    <row r="21" spans="3:24" x14ac:dyDescent="0.45">
      <c r="C21" s="124"/>
      <c r="D21" s="105"/>
      <c r="E21" s="131"/>
      <c r="F21" s="71"/>
      <c r="G21" s="78" t="str">
        <f t="shared" si="1"/>
        <v/>
      </c>
      <c r="H21" s="3">
        <f t="shared" si="2"/>
        <v>0</v>
      </c>
      <c r="I21" s="20" t="str">
        <f t="shared" si="3"/>
        <v/>
      </c>
      <c r="J21" s="94" t="str">
        <f t="shared" si="0"/>
        <v/>
      </c>
      <c r="K21" s="20" t="str">
        <f t="shared" si="4"/>
        <v/>
      </c>
      <c r="L21" s="94" t="str">
        <f t="shared" si="5"/>
        <v/>
      </c>
      <c r="M21" s="84" t="str">
        <f t="shared" si="6"/>
        <v/>
      </c>
      <c r="O21" s="36" t="str">
        <f t="shared" si="7"/>
        <v/>
      </c>
      <c r="P21" s="27" t="str">
        <f t="shared" si="8"/>
        <v/>
      </c>
      <c r="Q21" s="30" t="str">
        <f t="shared" si="9"/>
        <v/>
      </c>
      <c r="R21" s="19"/>
      <c r="S21" s="19" t="str">
        <f t="shared" si="10"/>
        <v/>
      </c>
      <c r="T21" s="19" t="str">
        <f t="shared" si="11"/>
        <v/>
      </c>
      <c r="U21" s="57" t="str">
        <f t="shared" si="12"/>
        <v/>
      </c>
      <c r="V21" s="57" t="str">
        <f t="shared" si="13"/>
        <v/>
      </c>
      <c r="W21" s="63" t="str">
        <f>IF(U21="","",IF(T22="",P$4-SUM(W$14:W20),IF((YEAR(O21)*1000+MONTH(O21))&gt;=P$9,IF((YEAR(O21)*1000+MONTH(O21))=P$9,ROUND(U21,0),ROUND(T21,0)),"")))</f>
        <v/>
      </c>
      <c r="X21" s="59" t="str">
        <f>IF(S$10="","",IF(P21&lt;=S$10,IF(P21=S$10,P$4-SUM(W$14:W20),W21),""))</f>
        <v/>
      </c>
    </row>
    <row r="22" spans="3:24" x14ac:dyDescent="0.45">
      <c r="C22" s="124"/>
      <c r="D22" s="105"/>
      <c r="E22" s="131"/>
      <c r="F22" s="71"/>
      <c r="G22" s="78" t="str">
        <f t="shared" si="1"/>
        <v/>
      </c>
      <c r="H22" s="3">
        <f t="shared" si="2"/>
        <v>0</v>
      </c>
      <c r="I22" s="20" t="str">
        <f t="shared" si="3"/>
        <v/>
      </c>
      <c r="J22" s="94" t="str">
        <f t="shared" si="0"/>
        <v/>
      </c>
      <c r="K22" s="20" t="str">
        <f t="shared" si="4"/>
        <v/>
      </c>
      <c r="L22" s="94" t="str">
        <f t="shared" si="5"/>
        <v/>
      </c>
      <c r="M22" s="84" t="str">
        <f t="shared" si="6"/>
        <v/>
      </c>
      <c r="O22" s="36" t="str">
        <f t="shared" si="7"/>
        <v/>
      </c>
      <c r="P22" s="27" t="str">
        <f t="shared" si="8"/>
        <v/>
      </c>
      <c r="Q22" s="30" t="str">
        <f t="shared" si="9"/>
        <v/>
      </c>
      <c r="R22" s="19"/>
      <c r="S22" s="19" t="str">
        <f t="shared" si="10"/>
        <v/>
      </c>
      <c r="T22" s="19" t="str">
        <f t="shared" si="11"/>
        <v/>
      </c>
      <c r="U22" s="57" t="str">
        <f t="shared" si="12"/>
        <v/>
      </c>
      <c r="V22" s="57" t="str">
        <f t="shared" si="13"/>
        <v/>
      </c>
      <c r="W22" s="63" t="str">
        <f>IF(U22="","",IF(T23="",P$4-SUM(W$14:W21),IF((YEAR(O22)*1000+MONTH(O22))&gt;=P$9,IF((YEAR(O22)*1000+MONTH(O22))=P$9,ROUND(U22,0),ROUND(T22,0)),"")))</f>
        <v/>
      </c>
      <c r="X22" s="59" t="str">
        <f>IF(S$10="","",IF(P22&lt;=S$10,IF(P22=S$10,P$4-SUM(W$14:W21),W22),""))</f>
        <v/>
      </c>
    </row>
    <row r="23" spans="3:24" x14ac:dyDescent="0.45">
      <c r="C23" s="124"/>
      <c r="D23" s="105"/>
      <c r="E23" s="131"/>
      <c r="F23" s="71"/>
      <c r="G23" s="78" t="str">
        <f t="shared" si="1"/>
        <v/>
      </c>
      <c r="H23" s="3">
        <f t="shared" si="2"/>
        <v>0</v>
      </c>
      <c r="I23" s="20" t="str">
        <f t="shared" si="3"/>
        <v/>
      </c>
      <c r="J23" s="94" t="str">
        <f t="shared" si="0"/>
        <v/>
      </c>
      <c r="K23" s="20" t="str">
        <f t="shared" si="4"/>
        <v/>
      </c>
      <c r="L23" s="94" t="str">
        <f t="shared" si="5"/>
        <v/>
      </c>
      <c r="M23" s="84" t="str">
        <f t="shared" si="6"/>
        <v/>
      </c>
      <c r="O23" s="36" t="str">
        <f t="shared" si="7"/>
        <v/>
      </c>
      <c r="P23" s="27" t="str">
        <f t="shared" si="8"/>
        <v/>
      </c>
      <c r="Q23" s="30" t="str">
        <f t="shared" si="9"/>
        <v/>
      </c>
      <c r="R23" s="19"/>
      <c r="S23" s="19" t="str">
        <f t="shared" si="10"/>
        <v/>
      </c>
      <c r="T23" s="19" t="str">
        <f t="shared" si="11"/>
        <v/>
      </c>
      <c r="U23" s="57" t="str">
        <f t="shared" si="12"/>
        <v/>
      </c>
      <c r="V23" s="57" t="str">
        <f t="shared" si="13"/>
        <v/>
      </c>
      <c r="W23" s="63" t="str">
        <f>IF(U23="","",IF(T24="",P$4-SUM(W$14:W22),IF((YEAR(O23)*1000+MONTH(O23))&gt;=P$9,IF((YEAR(O23)*1000+MONTH(O23))=P$9,ROUND(U23,0),ROUND(T23,0)),"")))</f>
        <v/>
      </c>
      <c r="X23" s="59" t="str">
        <f>IF(S$10="","",IF(P23&lt;=S$10,IF(P23=S$10,P$4-SUM(W$14:W22),W23),""))</f>
        <v/>
      </c>
    </row>
    <row r="24" spans="3:24" x14ac:dyDescent="0.45">
      <c r="C24" s="124"/>
      <c r="D24" s="105"/>
      <c r="E24" s="131"/>
      <c r="F24" s="71"/>
      <c r="G24" s="78" t="str">
        <f t="shared" si="1"/>
        <v/>
      </c>
      <c r="H24" s="3">
        <f t="shared" si="2"/>
        <v>0</v>
      </c>
      <c r="I24" s="20" t="str">
        <f t="shared" si="3"/>
        <v/>
      </c>
      <c r="J24" s="94" t="str">
        <f t="shared" si="0"/>
        <v/>
      </c>
      <c r="K24" s="20" t="str">
        <f t="shared" si="4"/>
        <v/>
      </c>
      <c r="L24" s="94" t="str">
        <f t="shared" si="5"/>
        <v/>
      </c>
      <c r="M24" s="84" t="str">
        <f t="shared" si="6"/>
        <v/>
      </c>
      <c r="O24" s="36" t="str">
        <f t="shared" si="7"/>
        <v/>
      </c>
      <c r="P24" s="27" t="str">
        <f t="shared" si="8"/>
        <v/>
      </c>
      <c r="Q24" s="30" t="str">
        <f t="shared" si="9"/>
        <v/>
      </c>
      <c r="R24" s="19"/>
      <c r="S24" s="19" t="str">
        <f t="shared" si="10"/>
        <v/>
      </c>
      <c r="T24" s="19" t="str">
        <f t="shared" si="11"/>
        <v/>
      </c>
      <c r="U24" s="57" t="str">
        <f t="shared" si="12"/>
        <v/>
      </c>
      <c r="V24" s="57" t="str">
        <f t="shared" si="13"/>
        <v/>
      </c>
      <c r="W24" s="63" t="str">
        <f>IF(U24="","",IF(T25="",P$4-SUM(W$14:W23),IF((YEAR(O24)*1000+MONTH(O24))&gt;=P$9,IF((YEAR(O24)*1000+MONTH(O24))=P$9,ROUND(U24,0),ROUND(T24,0)),"")))</f>
        <v/>
      </c>
      <c r="X24" s="59" t="str">
        <f>IF(S$10="","",IF(P24&lt;=S$10,IF(P24=S$10,P$4-SUM(W$14:W23),W24),""))</f>
        <v/>
      </c>
    </row>
    <row r="25" spans="3:24" x14ac:dyDescent="0.45">
      <c r="C25" s="124"/>
      <c r="D25" s="105"/>
      <c r="E25" s="131"/>
      <c r="F25" s="71"/>
      <c r="G25" s="78" t="str">
        <f t="shared" si="1"/>
        <v/>
      </c>
      <c r="H25" s="3">
        <f t="shared" si="2"/>
        <v>0</v>
      </c>
      <c r="I25" s="20" t="str">
        <f t="shared" si="3"/>
        <v/>
      </c>
      <c r="J25" s="94" t="str">
        <f t="shared" si="0"/>
        <v/>
      </c>
      <c r="K25" s="20" t="str">
        <f t="shared" si="4"/>
        <v/>
      </c>
      <c r="L25" s="94" t="str">
        <f t="shared" si="5"/>
        <v/>
      </c>
      <c r="M25" s="84" t="str">
        <f t="shared" si="6"/>
        <v/>
      </c>
      <c r="O25" s="36" t="str">
        <f t="shared" si="7"/>
        <v/>
      </c>
      <c r="P25" s="27" t="str">
        <f t="shared" si="8"/>
        <v/>
      </c>
      <c r="Q25" s="30" t="str">
        <f t="shared" si="9"/>
        <v/>
      </c>
      <c r="R25" s="19"/>
      <c r="S25" s="19" t="str">
        <f t="shared" si="10"/>
        <v/>
      </c>
      <c r="T25" s="19" t="str">
        <f t="shared" si="11"/>
        <v/>
      </c>
      <c r="U25" s="57" t="str">
        <f t="shared" si="12"/>
        <v/>
      </c>
      <c r="V25" s="57" t="str">
        <f t="shared" si="13"/>
        <v/>
      </c>
      <c r="W25" s="63" t="str">
        <f>IF(U25="","",IF(T26="",P$4-SUM(W$14:W24),IF((YEAR(O25)*1000+MONTH(O25))&gt;=P$9,IF((YEAR(O25)*1000+MONTH(O25))=P$9,ROUND(U25,0),ROUND(T25,0)),"")))</f>
        <v/>
      </c>
      <c r="X25" s="59" t="str">
        <f>IF(S$10="","",IF(P25&lt;=S$10,IF(P25=S$10,P$4-SUM(W$14:W24),W25),""))</f>
        <v/>
      </c>
    </row>
    <row r="26" spans="3:24" x14ac:dyDescent="0.45">
      <c r="C26" s="124"/>
      <c r="D26" s="105"/>
      <c r="E26" s="131"/>
      <c r="F26" s="71"/>
      <c r="G26" s="78" t="str">
        <f t="shared" si="1"/>
        <v/>
      </c>
      <c r="H26" s="3">
        <f t="shared" si="2"/>
        <v>0</v>
      </c>
      <c r="I26" s="20" t="str">
        <f t="shared" si="3"/>
        <v/>
      </c>
      <c r="J26" s="94" t="str">
        <f t="shared" si="0"/>
        <v/>
      </c>
      <c r="K26" s="20" t="str">
        <f t="shared" si="4"/>
        <v/>
      </c>
      <c r="L26" s="94" t="str">
        <f t="shared" si="5"/>
        <v/>
      </c>
      <c r="M26" s="84" t="str">
        <f t="shared" si="6"/>
        <v/>
      </c>
      <c r="O26" s="36" t="str">
        <f t="shared" si="7"/>
        <v/>
      </c>
      <c r="P26" s="27" t="str">
        <f t="shared" si="8"/>
        <v/>
      </c>
      <c r="Q26" s="30" t="str">
        <f t="shared" si="9"/>
        <v/>
      </c>
      <c r="R26" s="19"/>
      <c r="S26" s="19" t="str">
        <f t="shared" si="10"/>
        <v/>
      </c>
      <c r="T26" s="19" t="str">
        <f t="shared" si="11"/>
        <v/>
      </c>
      <c r="U26" s="57" t="str">
        <f t="shared" si="12"/>
        <v/>
      </c>
      <c r="V26" s="57" t="str">
        <f t="shared" si="13"/>
        <v/>
      </c>
      <c r="W26" s="63" t="str">
        <f>IF(U26="","",IF(T27="",P$4-SUM(W$14:W25),IF((YEAR(O26)*1000+MONTH(O26))&gt;=P$9,IF((YEAR(O26)*1000+MONTH(O26))=P$9,ROUND(U26,0),ROUND(T26,0)),"")))</f>
        <v/>
      </c>
      <c r="X26" s="59" t="str">
        <f>IF(S$10="","",IF(P26&lt;=S$10,IF(P26=S$10,P$4-SUM(W$14:W25),W26),""))</f>
        <v/>
      </c>
    </row>
    <row r="27" spans="3:24" x14ac:dyDescent="0.45">
      <c r="C27" s="124"/>
      <c r="D27" s="105"/>
      <c r="E27" s="131"/>
      <c r="F27" s="71"/>
      <c r="G27" s="78" t="str">
        <f t="shared" si="1"/>
        <v/>
      </c>
      <c r="H27" s="3">
        <f t="shared" si="2"/>
        <v>0</v>
      </c>
      <c r="I27" s="20" t="str">
        <f t="shared" si="3"/>
        <v/>
      </c>
      <c r="J27" s="94" t="str">
        <f t="shared" si="0"/>
        <v/>
      </c>
      <c r="K27" s="20" t="str">
        <f t="shared" si="4"/>
        <v/>
      </c>
      <c r="L27" s="94" t="str">
        <f t="shared" si="5"/>
        <v/>
      </c>
      <c r="M27" s="84" t="str">
        <f t="shared" si="6"/>
        <v/>
      </c>
      <c r="O27" s="36" t="str">
        <f t="shared" si="7"/>
        <v/>
      </c>
      <c r="P27" s="27" t="str">
        <f t="shared" si="8"/>
        <v/>
      </c>
      <c r="Q27" s="30" t="str">
        <f t="shared" si="9"/>
        <v/>
      </c>
      <c r="R27" s="19"/>
      <c r="S27" s="19" t="str">
        <f t="shared" si="10"/>
        <v/>
      </c>
      <c r="T27" s="19" t="str">
        <f t="shared" si="11"/>
        <v/>
      </c>
      <c r="U27" s="57" t="str">
        <f t="shared" si="12"/>
        <v/>
      </c>
      <c r="V27" s="57" t="str">
        <f t="shared" si="13"/>
        <v/>
      </c>
      <c r="W27" s="63" t="str">
        <f>IF(U27="","",IF(T28="",P$4-SUM(W$14:W26),IF((YEAR(O27)*1000+MONTH(O27))&gt;=P$9,IF((YEAR(O27)*1000+MONTH(O27))=P$9,ROUND(U27,0),ROUND(T27,0)),"")))</f>
        <v/>
      </c>
      <c r="X27" s="59" t="str">
        <f>IF(S$10="","",IF(P27&lt;=S$10,IF(P27=S$10,P$4-SUM(W$14:W26),W27),""))</f>
        <v/>
      </c>
    </row>
    <row r="28" spans="3:24" x14ac:dyDescent="0.45">
      <c r="C28" s="124"/>
      <c r="D28" s="105"/>
      <c r="E28" s="131"/>
      <c r="F28" s="71"/>
      <c r="G28" s="78" t="str">
        <f t="shared" si="1"/>
        <v/>
      </c>
      <c r="H28" s="3">
        <f t="shared" si="2"/>
        <v>0</v>
      </c>
      <c r="I28" s="20" t="str">
        <f t="shared" si="3"/>
        <v/>
      </c>
      <c r="J28" s="94" t="str">
        <f t="shared" si="0"/>
        <v/>
      </c>
      <c r="K28" s="20" t="str">
        <f t="shared" si="4"/>
        <v/>
      </c>
      <c r="L28" s="94" t="str">
        <f t="shared" si="5"/>
        <v/>
      </c>
      <c r="M28" s="84" t="str">
        <f t="shared" si="6"/>
        <v/>
      </c>
      <c r="O28" s="36" t="str">
        <f t="shared" si="7"/>
        <v/>
      </c>
      <c r="P28" s="27" t="str">
        <f t="shared" si="8"/>
        <v/>
      </c>
      <c r="Q28" s="30" t="str">
        <f t="shared" si="9"/>
        <v/>
      </c>
      <c r="R28" s="19"/>
      <c r="S28" s="19" t="str">
        <f t="shared" si="10"/>
        <v/>
      </c>
      <c r="T28" s="19" t="str">
        <f t="shared" si="11"/>
        <v/>
      </c>
      <c r="U28" s="57" t="str">
        <f t="shared" si="12"/>
        <v/>
      </c>
      <c r="V28" s="57" t="str">
        <f t="shared" si="13"/>
        <v/>
      </c>
      <c r="W28" s="63" t="str">
        <f>IF(U28="","",IF(T29="",P$4-SUM(W$14:W27),IF((YEAR(O28)*1000+MONTH(O28))&gt;=P$9,IF((YEAR(O28)*1000+MONTH(O28))=P$9,ROUND(U28,0),ROUND(T28,0)),"")))</f>
        <v/>
      </c>
      <c r="X28" s="59" t="str">
        <f>IF(S$10="","",IF(P28&lt;=S$10,IF(P28=S$10,P$4-SUM(W$14:W27),W28),""))</f>
        <v/>
      </c>
    </row>
    <row r="29" spans="3:24" x14ac:dyDescent="0.45">
      <c r="C29" s="124"/>
      <c r="D29" s="105"/>
      <c r="E29" s="131"/>
      <c r="F29" s="71"/>
      <c r="G29" s="78" t="str">
        <f t="shared" si="1"/>
        <v/>
      </c>
      <c r="H29" s="3">
        <f t="shared" si="2"/>
        <v>0</v>
      </c>
      <c r="I29" s="20" t="str">
        <f t="shared" si="3"/>
        <v/>
      </c>
      <c r="J29" s="94" t="str">
        <f t="shared" si="0"/>
        <v/>
      </c>
      <c r="K29" s="20" t="str">
        <f t="shared" si="4"/>
        <v/>
      </c>
      <c r="L29" s="94" t="str">
        <f t="shared" si="5"/>
        <v/>
      </c>
      <c r="M29" s="84" t="str">
        <f t="shared" si="6"/>
        <v/>
      </c>
      <c r="O29" s="36" t="str">
        <f t="shared" si="7"/>
        <v/>
      </c>
      <c r="P29" s="27" t="str">
        <f t="shared" si="8"/>
        <v/>
      </c>
      <c r="Q29" s="30" t="str">
        <f t="shared" si="9"/>
        <v/>
      </c>
      <c r="R29" s="19"/>
      <c r="S29" s="19" t="str">
        <f t="shared" si="10"/>
        <v/>
      </c>
      <c r="T29" s="19" t="str">
        <f t="shared" si="11"/>
        <v/>
      </c>
      <c r="U29" s="57" t="str">
        <f t="shared" si="12"/>
        <v/>
      </c>
      <c r="V29" s="57" t="str">
        <f t="shared" si="13"/>
        <v/>
      </c>
      <c r="W29" s="63" t="str">
        <f>IF(U29="","",IF(T30="",P$4-SUM(W$14:W28),IF((YEAR(O29)*1000+MONTH(O29))&gt;=P$9,IF((YEAR(O29)*1000+MONTH(O29))=P$9,ROUND(U29,0),ROUND(T29,0)),"")))</f>
        <v/>
      </c>
      <c r="X29" s="59" t="str">
        <f>IF(S$10="","",IF(P29&lt;=S$10,IF(P29=S$10,P$4-SUM(W$14:W28),W29),""))</f>
        <v/>
      </c>
    </row>
    <row r="30" spans="3:24" x14ac:dyDescent="0.45">
      <c r="C30" s="124"/>
      <c r="D30" s="105"/>
      <c r="E30" s="131"/>
      <c r="F30" s="71"/>
      <c r="G30" s="78" t="str">
        <f t="shared" si="1"/>
        <v/>
      </c>
      <c r="H30" s="3">
        <f t="shared" si="2"/>
        <v>0</v>
      </c>
      <c r="I30" s="20" t="str">
        <f t="shared" si="3"/>
        <v/>
      </c>
      <c r="J30" s="94" t="str">
        <f t="shared" si="0"/>
        <v/>
      </c>
      <c r="K30" s="20" t="str">
        <f t="shared" si="4"/>
        <v/>
      </c>
      <c r="L30" s="94" t="str">
        <f t="shared" si="5"/>
        <v/>
      </c>
      <c r="M30" s="84" t="str">
        <f t="shared" si="6"/>
        <v/>
      </c>
      <c r="O30" s="36" t="str">
        <f t="shared" si="7"/>
        <v/>
      </c>
      <c r="P30" s="27" t="str">
        <f t="shared" si="8"/>
        <v/>
      </c>
      <c r="Q30" s="30" t="str">
        <f t="shared" si="9"/>
        <v/>
      </c>
      <c r="R30" s="19"/>
      <c r="S30" s="19" t="str">
        <f t="shared" si="10"/>
        <v/>
      </c>
      <c r="T30" s="19" t="str">
        <f t="shared" si="11"/>
        <v/>
      </c>
      <c r="U30" s="57" t="str">
        <f t="shared" si="12"/>
        <v/>
      </c>
      <c r="V30" s="57" t="str">
        <f t="shared" si="13"/>
        <v/>
      </c>
      <c r="W30" s="63" t="str">
        <f>IF(U30="","",IF(T31="",P$4-SUM(W$14:W29),IF((YEAR(O30)*1000+MONTH(O30))&gt;=P$9,IF((YEAR(O30)*1000+MONTH(O30))=P$9,ROUND(U30,0),ROUND(T30,0)),"")))</f>
        <v/>
      </c>
      <c r="X30" s="59" t="str">
        <f>IF(S$10="","",IF(P30&lt;=S$10,IF(P30=S$10,P$4-SUM(W$14:W29),W30),""))</f>
        <v/>
      </c>
    </row>
    <row r="31" spans="3:24" x14ac:dyDescent="0.45">
      <c r="C31" s="124"/>
      <c r="D31" s="105"/>
      <c r="E31" s="131"/>
      <c r="F31" s="71"/>
      <c r="G31" s="78" t="str">
        <f t="shared" si="1"/>
        <v/>
      </c>
      <c r="H31" s="3">
        <f t="shared" si="2"/>
        <v>0</v>
      </c>
      <c r="I31" s="20" t="str">
        <f t="shared" si="3"/>
        <v/>
      </c>
      <c r="J31" s="94" t="str">
        <f t="shared" si="0"/>
        <v/>
      </c>
      <c r="K31" s="20" t="str">
        <f t="shared" si="4"/>
        <v/>
      </c>
      <c r="L31" s="94" t="str">
        <f t="shared" si="5"/>
        <v/>
      </c>
      <c r="M31" s="84" t="str">
        <f t="shared" si="6"/>
        <v/>
      </c>
      <c r="O31" s="36" t="str">
        <f t="shared" si="7"/>
        <v/>
      </c>
      <c r="P31" s="27" t="str">
        <f t="shared" si="8"/>
        <v/>
      </c>
      <c r="Q31" s="30" t="str">
        <f t="shared" si="9"/>
        <v/>
      </c>
      <c r="R31" s="19"/>
      <c r="S31" s="19" t="str">
        <f t="shared" si="10"/>
        <v/>
      </c>
      <c r="T31" s="19" t="str">
        <f t="shared" si="11"/>
        <v/>
      </c>
      <c r="U31" s="57" t="str">
        <f t="shared" si="12"/>
        <v/>
      </c>
      <c r="V31" s="57" t="str">
        <f t="shared" si="13"/>
        <v/>
      </c>
      <c r="W31" s="63" t="str">
        <f>IF(U31="","",IF(T32="",P$4-SUM(W$14:W30),IF((YEAR(O31)*1000+MONTH(O31))&gt;=P$9,IF((YEAR(O31)*1000+MONTH(O31))=P$9,ROUND(U31,0),ROUND(T31,0)),"")))</f>
        <v/>
      </c>
      <c r="X31" s="59" t="str">
        <f>IF(S$10="","",IF(P31&lt;=S$10,IF(P31=S$10,P$4-SUM(W$14:W30),W31),""))</f>
        <v/>
      </c>
    </row>
    <row r="32" spans="3:24" x14ac:dyDescent="0.45">
      <c r="C32" s="124"/>
      <c r="D32" s="105"/>
      <c r="E32" s="131"/>
      <c r="F32" s="71"/>
      <c r="G32" s="78" t="str">
        <f t="shared" si="1"/>
        <v/>
      </c>
      <c r="H32" s="3">
        <f t="shared" si="2"/>
        <v>0</v>
      </c>
      <c r="I32" s="20" t="str">
        <f t="shared" si="3"/>
        <v/>
      </c>
      <c r="J32" s="94" t="str">
        <f t="shared" si="0"/>
        <v/>
      </c>
      <c r="K32" s="20" t="str">
        <f t="shared" si="4"/>
        <v/>
      </c>
      <c r="L32" s="94" t="str">
        <f t="shared" si="5"/>
        <v/>
      </c>
      <c r="M32" s="84" t="str">
        <f t="shared" si="6"/>
        <v/>
      </c>
      <c r="O32" s="36" t="str">
        <f t="shared" si="7"/>
        <v/>
      </c>
      <c r="P32" s="27" t="str">
        <f t="shared" si="8"/>
        <v/>
      </c>
      <c r="Q32" s="30" t="str">
        <f t="shared" si="9"/>
        <v/>
      </c>
      <c r="R32" s="19"/>
      <c r="S32" s="19" t="str">
        <f t="shared" si="10"/>
        <v/>
      </c>
      <c r="T32" s="19" t="str">
        <f t="shared" si="11"/>
        <v/>
      </c>
      <c r="U32" s="57" t="str">
        <f t="shared" si="12"/>
        <v/>
      </c>
      <c r="V32" s="57" t="str">
        <f t="shared" si="13"/>
        <v/>
      </c>
      <c r="W32" s="63" t="str">
        <f>IF(U32="","",IF(T33="",P$4-SUM(W$14:W31),IF((YEAR(O32)*1000+MONTH(O32))&gt;=P$9,IF((YEAR(O32)*1000+MONTH(O32))=P$9,ROUND(U32,0),ROUND(T32,0)),"")))</f>
        <v/>
      </c>
      <c r="X32" s="59" t="str">
        <f>IF(S$10="","",IF(P32&lt;=S$10,IF(P32=S$10,P$4-SUM(W$14:W31),W32),""))</f>
        <v/>
      </c>
    </row>
    <row r="33" spans="3:24" x14ac:dyDescent="0.45">
      <c r="C33" s="124"/>
      <c r="D33" s="105"/>
      <c r="E33" s="131"/>
      <c r="F33" s="71"/>
      <c r="G33" s="78" t="str">
        <f t="shared" si="1"/>
        <v/>
      </c>
      <c r="H33" s="3">
        <f t="shared" si="2"/>
        <v>0</v>
      </c>
      <c r="I33" s="20" t="str">
        <f t="shared" si="3"/>
        <v/>
      </c>
      <c r="J33" s="94" t="str">
        <f t="shared" si="0"/>
        <v/>
      </c>
      <c r="K33" s="20" t="str">
        <f t="shared" si="4"/>
        <v/>
      </c>
      <c r="L33" s="94" t="str">
        <f t="shared" si="5"/>
        <v/>
      </c>
      <c r="M33" s="84" t="str">
        <f t="shared" si="6"/>
        <v/>
      </c>
      <c r="O33" s="36" t="str">
        <f t="shared" si="7"/>
        <v/>
      </c>
      <c r="P33" s="27" t="str">
        <f t="shared" si="8"/>
        <v/>
      </c>
      <c r="Q33" s="30" t="str">
        <f t="shared" si="9"/>
        <v/>
      </c>
      <c r="R33" s="19"/>
      <c r="S33" s="19" t="str">
        <f t="shared" si="10"/>
        <v/>
      </c>
      <c r="T33" s="19" t="str">
        <f t="shared" si="11"/>
        <v/>
      </c>
      <c r="U33" s="57" t="str">
        <f t="shared" si="12"/>
        <v/>
      </c>
      <c r="V33" s="57" t="str">
        <f t="shared" si="13"/>
        <v/>
      </c>
      <c r="W33" s="63" t="str">
        <f>IF(U33="","",IF(T34="",P$4-SUM(W$14:W32),IF((YEAR(O33)*1000+MONTH(O33))&gt;=P$9,IF((YEAR(O33)*1000+MONTH(O33))=P$9,ROUND(U33,0),ROUND(T33,0)),"")))</f>
        <v/>
      </c>
      <c r="X33" s="59" t="str">
        <f>IF(S$10="","",IF(P33&lt;=S$10,IF(P33=S$10,P$4-SUM(W$14:W32),W33),""))</f>
        <v/>
      </c>
    </row>
    <row r="34" spans="3:24" x14ac:dyDescent="0.45">
      <c r="C34" s="124"/>
      <c r="D34" s="105"/>
      <c r="E34" s="131"/>
      <c r="F34" s="71"/>
      <c r="G34" s="78" t="str">
        <f t="shared" si="1"/>
        <v/>
      </c>
      <c r="H34" s="3">
        <f t="shared" si="2"/>
        <v>0</v>
      </c>
      <c r="I34" s="20" t="str">
        <f t="shared" si="3"/>
        <v/>
      </c>
      <c r="J34" s="94" t="str">
        <f t="shared" si="0"/>
        <v/>
      </c>
      <c r="K34" s="20" t="str">
        <f t="shared" si="4"/>
        <v/>
      </c>
      <c r="L34" s="94" t="str">
        <f t="shared" si="5"/>
        <v/>
      </c>
      <c r="M34" s="84" t="str">
        <f t="shared" si="6"/>
        <v/>
      </c>
      <c r="O34" s="36" t="str">
        <f t="shared" si="7"/>
        <v/>
      </c>
      <c r="P34" s="27" t="str">
        <f t="shared" si="8"/>
        <v/>
      </c>
      <c r="Q34" s="30" t="str">
        <f t="shared" si="9"/>
        <v/>
      </c>
      <c r="R34" s="19"/>
      <c r="S34" s="19" t="str">
        <f t="shared" si="10"/>
        <v/>
      </c>
      <c r="T34" s="19" t="str">
        <f t="shared" si="11"/>
        <v/>
      </c>
      <c r="U34" s="57" t="str">
        <f t="shared" si="12"/>
        <v/>
      </c>
      <c r="V34" s="57" t="str">
        <f t="shared" si="13"/>
        <v/>
      </c>
      <c r="W34" s="63" t="str">
        <f>IF(U34="","",IF(T35="",P$4-SUM(W$14:W33),IF((YEAR(O34)*1000+MONTH(O34))&gt;=P$9,IF((YEAR(O34)*1000+MONTH(O34))=P$9,ROUND(U34,0),ROUND(T34,0)),"")))</f>
        <v/>
      </c>
      <c r="X34" s="59" t="str">
        <f>IF(S$10="","",IF(P34&lt;=S$10,IF(P34=S$10,P$4-SUM(W$14:W33),W34),""))</f>
        <v/>
      </c>
    </row>
    <row r="35" spans="3:24" x14ac:dyDescent="0.45">
      <c r="C35" s="124"/>
      <c r="D35" s="105"/>
      <c r="E35" s="131"/>
      <c r="F35" s="71"/>
      <c r="G35" s="78" t="str">
        <f t="shared" si="1"/>
        <v/>
      </c>
      <c r="H35" s="3">
        <f t="shared" si="2"/>
        <v>0</v>
      </c>
      <c r="I35" s="20" t="str">
        <f t="shared" si="3"/>
        <v/>
      </c>
      <c r="J35" s="94" t="str">
        <f t="shared" si="0"/>
        <v/>
      </c>
      <c r="K35" s="20" t="str">
        <f t="shared" si="4"/>
        <v/>
      </c>
      <c r="L35" s="94" t="str">
        <f t="shared" si="5"/>
        <v/>
      </c>
      <c r="M35" s="84" t="str">
        <f t="shared" si="6"/>
        <v/>
      </c>
      <c r="O35" s="36" t="str">
        <f t="shared" si="7"/>
        <v/>
      </c>
      <c r="P35" s="27" t="str">
        <f t="shared" si="8"/>
        <v/>
      </c>
      <c r="Q35" s="30" t="str">
        <f t="shared" si="9"/>
        <v/>
      </c>
      <c r="R35" s="19"/>
      <c r="S35" s="19" t="str">
        <f t="shared" si="10"/>
        <v/>
      </c>
      <c r="T35" s="19" t="str">
        <f t="shared" si="11"/>
        <v/>
      </c>
      <c r="U35" s="57" t="str">
        <f t="shared" si="12"/>
        <v/>
      </c>
      <c r="V35" s="57" t="str">
        <f t="shared" si="13"/>
        <v/>
      </c>
      <c r="W35" s="63" t="str">
        <f>IF(U35="","",IF(T36="",P$4-SUM(W$14:W34),IF((YEAR(O35)*1000+MONTH(O35))&gt;=P$9,IF((YEAR(O35)*1000+MONTH(O35))=P$9,ROUND(U35,0),ROUND(T35,0)),"")))</f>
        <v/>
      </c>
      <c r="X35" s="59" t="str">
        <f>IF(S$10="","",IF(P35&lt;=S$10,IF(P35=S$10,P$4-SUM(W$14:W34),W35),""))</f>
        <v/>
      </c>
    </row>
    <row r="36" spans="3:24" x14ac:dyDescent="0.45">
      <c r="C36" s="124"/>
      <c r="D36" s="105"/>
      <c r="E36" s="131"/>
      <c r="F36" s="71"/>
      <c r="G36" s="78" t="str">
        <f t="shared" si="1"/>
        <v/>
      </c>
      <c r="H36" s="3">
        <f t="shared" si="2"/>
        <v>0</v>
      </c>
      <c r="I36" s="20" t="str">
        <f t="shared" si="3"/>
        <v/>
      </c>
      <c r="J36" s="94" t="str">
        <f t="shared" si="0"/>
        <v/>
      </c>
      <c r="K36" s="20" t="str">
        <f t="shared" si="4"/>
        <v/>
      </c>
      <c r="L36" s="94" t="str">
        <f t="shared" si="5"/>
        <v/>
      </c>
      <c r="M36" s="84" t="str">
        <f t="shared" si="6"/>
        <v/>
      </c>
      <c r="O36" s="36" t="str">
        <f t="shared" si="7"/>
        <v/>
      </c>
      <c r="P36" s="27" t="str">
        <f t="shared" si="8"/>
        <v/>
      </c>
      <c r="Q36" s="30" t="str">
        <f t="shared" si="9"/>
        <v/>
      </c>
      <c r="R36" s="19"/>
      <c r="S36" s="19" t="str">
        <f t="shared" si="10"/>
        <v/>
      </c>
      <c r="T36" s="19" t="str">
        <f t="shared" si="11"/>
        <v/>
      </c>
      <c r="U36" s="57" t="str">
        <f t="shared" si="12"/>
        <v/>
      </c>
      <c r="V36" s="57" t="str">
        <f t="shared" si="13"/>
        <v/>
      </c>
      <c r="W36" s="63" t="str">
        <f>IF(U36="","",IF(T37="",P$4-SUM(W$14:W35),IF((YEAR(O36)*1000+MONTH(O36))&gt;=P$9,IF((YEAR(O36)*1000+MONTH(O36))=P$9,ROUND(U36,0),ROUND(T36,0)),"")))</f>
        <v/>
      </c>
      <c r="X36" s="59" t="str">
        <f>IF(S$10="","",IF(P36&lt;=S$10,IF(P36=S$10,P$4-SUM(W$14:W35),W36),""))</f>
        <v/>
      </c>
    </row>
    <row r="37" spans="3:24" x14ac:dyDescent="0.45">
      <c r="C37" s="124"/>
      <c r="D37" s="105"/>
      <c r="E37" s="131"/>
      <c r="F37" s="71"/>
      <c r="G37" s="78" t="str">
        <f t="shared" si="1"/>
        <v/>
      </c>
      <c r="H37" s="3">
        <f t="shared" si="2"/>
        <v>0</v>
      </c>
      <c r="I37" s="20" t="str">
        <f t="shared" si="3"/>
        <v/>
      </c>
      <c r="J37" s="94" t="str">
        <f t="shared" si="0"/>
        <v/>
      </c>
      <c r="K37" s="20" t="str">
        <f t="shared" si="4"/>
        <v/>
      </c>
      <c r="L37" s="94" t="str">
        <f t="shared" si="5"/>
        <v/>
      </c>
      <c r="M37" s="84" t="str">
        <f t="shared" si="6"/>
        <v/>
      </c>
      <c r="O37" s="36" t="str">
        <f t="shared" si="7"/>
        <v/>
      </c>
      <c r="P37" s="27" t="str">
        <f t="shared" si="8"/>
        <v/>
      </c>
      <c r="Q37" s="30" t="str">
        <f t="shared" si="9"/>
        <v/>
      </c>
      <c r="R37" s="19"/>
      <c r="S37" s="19" t="str">
        <f t="shared" si="10"/>
        <v/>
      </c>
      <c r="T37" s="19" t="str">
        <f t="shared" si="11"/>
        <v/>
      </c>
      <c r="U37" s="57" t="str">
        <f t="shared" si="12"/>
        <v/>
      </c>
      <c r="V37" s="57" t="str">
        <f t="shared" si="13"/>
        <v/>
      </c>
      <c r="W37" s="63" t="str">
        <f>IF(U37="","",IF(T38="",P$4-SUM(W$14:W36),IF((YEAR(O37)*1000+MONTH(O37))&gt;=P$9,IF((YEAR(O37)*1000+MONTH(O37))=P$9,ROUND(U37,0),ROUND(T37,0)),"")))</f>
        <v/>
      </c>
      <c r="X37" s="59" t="str">
        <f>IF(S$10="","",IF(P37&lt;=S$10,IF(P37=S$10,P$4-SUM(W$14:W36),W37),""))</f>
        <v/>
      </c>
    </row>
    <row r="38" spans="3:24" x14ac:dyDescent="0.45">
      <c r="C38" s="124"/>
      <c r="D38" s="105"/>
      <c r="E38" s="131"/>
      <c r="F38" s="71"/>
      <c r="G38" s="78" t="str">
        <f t="shared" si="1"/>
        <v/>
      </c>
      <c r="H38" s="3">
        <f t="shared" si="2"/>
        <v>0</v>
      </c>
      <c r="I38" s="20" t="str">
        <f t="shared" si="3"/>
        <v/>
      </c>
      <c r="J38" s="94" t="str">
        <f t="shared" si="0"/>
        <v/>
      </c>
      <c r="K38" s="20" t="str">
        <f t="shared" si="4"/>
        <v/>
      </c>
      <c r="L38" s="94" t="str">
        <f t="shared" si="5"/>
        <v/>
      </c>
      <c r="M38" s="84" t="str">
        <f t="shared" si="6"/>
        <v/>
      </c>
      <c r="O38" s="36" t="str">
        <f t="shared" si="7"/>
        <v/>
      </c>
      <c r="P38" s="27" t="str">
        <f t="shared" si="8"/>
        <v/>
      </c>
      <c r="Q38" s="30" t="str">
        <f t="shared" si="9"/>
        <v/>
      </c>
      <c r="R38" s="19"/>
      <c r="S38" s="19" t="str">
        <f t="shared" si="10"/>
        <v/>
      </c>
      <c r="T38" s="19" t="str">
        <f t="shared" si="11"/>
        <v/>
      </c>
      <c r="U38" s="57" t="str">
        <f t="shared" si="12"/>
        <v/>
      </c>
      <c r="V38" s="57" t="str">
        <f t="shared" si="13"/>
        <v/>
      </c>
      <c r="W38" s="63" t="str">
        <f>IF(U38="","",IF(T39="",P$4-SUM(W$14:W37),IF((YEAR(O38)*1000+MONTH(O38))&gt;=P$9,IF((YEAR(O38)*1000+MONTH(O38))=P$9,ROUND(U38,0),ROUND(T38,0)),"")))</f>
        <v/>
      </c>
      <c r="X38" s="59" t="str">
        <f>IF(S$10="","",IF(P38&lt;=S$10,IF(P38=S$10,P$4-SUM(W$14:W37),W38),""))</f>
        <v/>
      </c>
    </row>
    <row r="39" spans="3:24" x14ac:dyDescent="0.45">
      <c r="C39" s="124"/>
      <c r="D39" s="105"/>
      <c r="E39" s="131"/>
      <c r="F39" s="71"/>
      <c r="G39" s="78" t="str">
        <f t="shared" si="1"/>
        <v/>
      </c>
      <c r="H39" s="3">
        <f t="shared" si="2"/>
        <v>0</v>
      </c>
      <c r="I39" s="20" t="str">
        <f t="shared" si="3"/>
        <v/>
      </c>
      <c r="J39" s="94" t="str">
        <f t="shared" si="0"/>
        <v/>
      </c>
      <c r="K39" s="20" t="str">
        <f t="shared" si="4"/>
        <v/>
      </c>
      <c r="L39" s="94" t="str">
        <f t="shared" si="5"/>
        <v/>
      </c>
      <c r="M39" s="84" t="str">
        <f t="shared" si="6"/>
        <v/>
      </c>
      <c r="O39" s="36" t="str">
        <f t="shared" si="7"/>
        <v/>
      </c>
      <c r="P39" s="27" t="str">
        <f t="shared" si="8"/>
        <v/>
      </c>
      <c r="Q39" s="30" t="str">
        <f t="shared" si="9"/>
        <v/>
      </c>
      <c r="R39" s="19"/>
      <c r="S39" s="19" t="str">
        <f t="shared" si="10"/>
        <v/>
      </c>
      <c r="T39" s="19" t="str">
        <f t="shared" si="11"/>
        <v/>
      </c>
      <c r="U39" s="57" t="str">
        <f t="shared" si="12"/>
        <v/>
      </c>
      <c r="V39" s="57" t="str">
        <f t="shared" si="13"/>
        <v/>
      </c>
      <c r="W39" s="63" t="str">
        <f>IF(U39="","",IF(T40="",P$4-SUM(W$14:W38),IF((YEAR(O39)*1000+MONTH(O39))&gt;=P$9,IF((YEAR(O39)*1000+MONTH(O39))=P$9,ROUND(U39,0),ROUND(T39,0)),"")))</f>
        <v/>
      </c>
      <c r="X39" s="59" t="str">
        <f>IF(S$10="","",IF(P39&lt;=S$10,IF(P39=S$10,P$4-SUM(W$14:W38),W39),""))</f>
        <v/>
      </c>
    </row>
    <row r="40" spans="3:24" x14ac:dyDescent="0.45">
      <c r="C40" s="124"/>
      <c r="D40" s="105"/>
      <c r="E40" s="131"/>
      <c r="F40" s="71"/>
      <c r="G40" s="78" t="str">
        <f t="shared" si="1"/>
        <v/>
      </c>
      <c r="H40" s="3">
        <f t="shared" si="2"/>
        <v>0</v>
      </c>
      <c r="I40" s="20" t="str">
        <f t="shared" si="3"/>
        <v/>
      </c>
      <c r="J40" s="94" t="str">
        <f t="shared" si="0"/>
        <v/>
      </c>
      <c r="K40" s="20" t="str">
        <f t="shared" si="4"/>
        <v/>
      </c>
      <c r="L40" s="94" t="str">
        <f t="shared" si="5"/>
        <v/>
      </c>
      <c r="M40" s="84" t="str">
        <f t="shared" si="6"/>
        <v/>
      </c>
      <c r="O40" s="36" t="str">
        <f t="shared" si="7"/>
        <v/>
      </c>
      <c r="P40" s="27" t="str">
        <f t="shared" si="8"/>
        <v/>
      </c>
      <c r="Q40" s="30" t="str">
        <f t="shared" si="9"/>
        <v/>
      </c>
      <c r="R40" s="19"/>
      <c r="S40" s="19" t="str">
        <f t="shared" si="10"/>
        <v/>
      </c>
      <c r="T40" s="19" t="str">
        <f t="shared" si="11"/>
        <v/>
      </c>
      <c r="U40" s="57" t="str">
        <f t="shared" si="12"/>
        <v/>
      </c>
      <c r="V40" s="57" t="str">
        <f t="shared" si="13"/>
        <v/>
      </c>
      <c r="W40" s="63" t="str">
        <f>IF(U40="","",IF(T41="",P$4-SUM(W$14:W39),IF((YEAR(O40)*1000+MONTH(O40))&gt;=P$9,IF((YEAR(O40)*1000+MONTH(O40))=P$9,ROUND(U40,0),ROUND(T40,0)),"")))</f>
        <v/>
      </c>
      <c r="X40" s="59" t="str">
        <f>IF(S$10="","",IF(P40&lt;=S$10,IF(P40=S$10,P$4-SUM(W$14:W39),W40),""))</f>
        <v/>
      </c>
    </row>
    <row r="41" spans="3:24" x14ac:dyDescent="0.45">
      <c r="C41" s="124"/>
      <c r="D41" s="105"/>
      <c r="E41" s="131"/>
      <c r="F41" s="71"/>
      <c r="G41" s="78" t="str">
        <f t="shared" si="1"/>
        <v/>
      </c>
      <c r="H41" s="3">
        <f t="shared" si="2"/>
        <v>0</v>
      </c>
      <c r="I41" s="20" t="str">
        <f t="shared" si="3"/>
        <v/>
      </c>
      <c r="J41" s="94" t="str">
        <f t="shared" si="0"/>
        <v/>
      </c>
      <c r="K41" s="20" t="str">
        <f t="shared" si="4"/>
        <v/>
      </c>
      <c r="L41" s="94" t="str">
        <f t="shared" si="5"/>
        <v/>
      </c>
      <c r="M41" s="84" t="str">
        <f t="shared" si="6"/>
        <v/>
      </c>
      <c r="O41" s="36" t="str">
        <f t="shared" si="7"/>
        <v/>
      </c>
      <c r="P41" s="27" t="str">
        <f t="shared" si="8"/>
        <v/>
      </c>
      <c r="Q41" s="30" t="str">
        <f t="shared" si="9"/>
        <v/>
      </c>
      <c r="R41" s="19"/>
      <c r="S41" s="19" t="str">
        <f t="shared" si="10"/>
        <v/>
      </c>
      <c r="T41" s="19" t="str">
        <f t="shared" si="11"/>
        <v/>
      </c>
      <c r="U41" s="57" t="str">
        <f t="shared" si="12"/>
        <v/>
      </c>
      <c r="V41" s="57" t="str">
        <f t="shared" si="13"/>
        <v/>
      </c>
      <c r="W41" s="63" t="str">
        <f>IF(U41="","",IF(T42="",P$4-SUM(W$14:W40),IF((YEAR(O41)*1000+MONTH(O41))&gt;=P$9,IF((YEAR(O41)*1000+MONTH(O41))=P$9,ROUND(U41,0),ROUND(T41,0)),"")))</f>
        <v/>
      </c>
      <c r="X41" s="59" t="str">
        <f>IF(S$10="","",IF(P41&lt;=S$10,IF(P41=S$10,P$4-SUM(W$14:W40),W41),""))</f>
        <v/>
      </c>
    </row>
    <row r="42" spans="3:24" x14ac:dyDescent="0.45">
      <c r="C42" s="124"/>
      <c r="D42" s="105"/>
      <c r="E42" s="131"/>
      <c r="F42" s="71"/>
      <c r="G42" s="78" t="str">
        <f t="shared" si="1"/>
        <v/>
      </c>
      <c r="H42" s="3">
        <f t="shared" si="2"/>
        <v>0</v>
      </c>
      <c r="I42" s="20" t="str">
        <f t="shared" si="3"/>
        <v/>
      </c>
      <c r="J42" s="94" t="str">
        <f t="shared" si="0"/>
        <v/>
      </c>
      <c r="K42" s="20" t="str">
        <f t="shared" si="4"/>
        <v/>
      </c>
      <c r="L42" s="94" t="str">
        <f t="shared" si="5"/>
        <v/>
      </c>
      <c r="M42" s="84" t="str">
        <f t="shared" si="6"/>
        <v/>
      </c>
      <c r="O42" s="36" t="str">
        <f t="shared" si="7"/>
        <v/>
      </c>
      <c r="P42" s="27" t="str">
        <f t="shared" si="8"/>
        <v/>
      </c>
      <c r="Q42" s="30" t="str">
        <f t="shared" si="9"/>
        <v/>
      </c>
      <c r="R42" s="19"/>
      <c r="S42" s="19" t="str">
        <f t="shared" si="10"/>
        <v/>
      </c>
      <c r="T42" s="19" t="str">
        <f t="shared" si="11"/>
        <v/>
      </c>
      <c r="U42" s="57" t="str">
        <f t="shared" si="12"/>
        <v/>
      </c>
      <c r="V42" s="57" t="str">
        <f t="shared" si="13"/>
        <v/>
      </c>
      <c r="W42" s="63" t="str">
        <f>IF(U42="","",IF(T43="",P$4-SUM(W$14:W41),IF((YEAR(O42)*1000+MONTH(O42))&gt;=P$9,IF((YEAR(O42)*1000+MONTH(O42))=P$9,ROUND(U42,0),ROUND(T42,0)),"")))</f>
        <v/>
      </c>
      <c r="X42" s="59" t="str">
        <f>IF(S$10="","",IF(P42&lt;=S$10,IF(P42=S$10,P$4-SUM(W$14:W41),W42),""))</f>
        <v/>
      </c>
    </row>
    <row r="43" spans="3:24" x14ac:dyDescent="0.45">
      <c r="C43" s="124"/>
      <c r="D43" s="105"/>
      <c r="E43" s="131"/>
      <c r="F43" s="71"/>
      <c r="G43" s="78" t="str">
        <f t="shared" si="1"/>
        <v/>
      </c>
      <c r="H43" s="3">
        <f t="shared" si="2"/>
        <v>0</v>
      </c>
      <c r="I43" s="20" t="str">
        <f t="shared" si="3"/>
        <v/>
      </c>
      <c r="J43" s="94" t="str">
        <f t="shared" si="0"/>
        <v/>
      </c>
      <c r="K43" s="20" t="str">
        <f t="shared" si="4"/>
        <v/>
      </c>
      <c r="L43" s="94" t="str">
        <f t="shared" si="5"/>
        <v/>
      </c>
      <c r="M43" s="84" t="str">
        <f t="shared" si="6"/>
        <v/>
      </c>
      <c r="O43" s="36" t="str">
        <f t="shared" si="7"/>
        <v/>
      </c>
      <c r="P43" s="27" t="str">
        <f t="shared" si="8"/>
        <v/>
      </c>
      <c r="Q43" s="30" t="str">
        <f t="shared" si="9"/>
        <v/>
      </c>
      <c r="R43" s="19"/>
      <c r="S43" s="19" t="str">
        <f t="shared" si="10"/>
        <v/>
      </c>
      <c r="T43" s="19" t="str">
        <f t="shared" si="11"/>
        <v/>
      </c>
      <c r="U43" s="57" t="str">
        <f t="shared" si="12"/>
        <v/>
      </c>
      <c r="V43" s="57" t="str">
        <f t="shared" si="13"/>
        <v/>
      </c>
      <c r="W43" s="63" t="str">
        <f>IF(U43="","",IF(T44="",P$4-SUM(W$14:W42),IF((YEAR(O43)*1000+MONTH(O43))&gt;=P$9,IF((YEAR(O43)*1000+MONTH(O43))=P$9,ROUND(U43,0),ROUND(T43,0)),"")))</f>
        <v/>
      </c>
      <c r="X43" s="59" t="str">
        <f>IF(S$10="","",IF(P43&lt;=S$10,IF(P43=S$10,P$4-SUM(W$14:W42),W43),""))</f>
        <v/>
      </c>
    </row>
    <row r="44" spans="3:24" x14ac:dyDescent="0.45">
      <c r="C44" s="124"/>
      <c r="D44" s="105"/>
      <c r="E44" s="131"/>
      <c r="F44" s="71"/>
      <c r="G44" s="78" t="str">
        <f t="shared" si="1"/>
        <v/>
      </c>
      <c r="H44" s="3">
        <f t="shared" si="2"/>
        <v>0</v>
      </c>
      <c r="I44" s="20" t="str">
        <f t="shared" si="3"/>
        <v/>
      </c>
      <c r="J44" s="94" t="str">
        <f t="shared" si="0"/>
        <v/>
      </c>
      <c r="K44" s="20" t="str">
        <f t="shared" si="4"/>
        <v/>
      </c>
      <c r="L44" s="94" t="str">
        <f t="shared" si="5"/>
        <v/>
      </c>
      <c r="M44" s="84" t="str">
        <f t="shared" si="6"/>
        <v/>
      </c>
      <c r="O44" s="36" t="str">
        <f t="shared" si="7"/>
        <v/>
      </c>
      <c r="P44" s="27" t="str">
        <f t="shared" si="8"/>
        <v/>
      </c>
      <c r="Q44" s="30" t="str">
        <f t="shared" si="9"/>
        <v/>
      </c>
      <c r="R44" s="19"/>
      <c r="S44" s="19" t="str">
        <f t="shared" si="10"/>
        <v/>
      </c>
      <c r="T44" s="19" t="str">
        <f t="shared" si="11"/>
        <v/>
      </c>
      <c r="U44" s="57" t="str">
        <f t="shared" si="12"/>
        <v/>
      </c>
      <c r="V44" s="57" t="str">
        <f t="shared" si="13"/>
        <v/>
      </c>
      <c r="W44" s="63" t="str">
        <f>IF(U44="","",IF(T45="",P$4-SUM(W$14:W43),IF((YEAR(O44)*1000+MONTH(O44))&gt;=P$9,IF((YEAR(O44)*1000+MONTH(O44))=P$9,ROUND(U44,0),ROUND(T44,0)),"")))</f>
        <v/>
      </c>
      <c r="X44" s="59" t="str">
        <f>IF(S$10="","",IF(P44&lt;=S$10,IF(P44=S$10,P$4-SUM(W$14:W43),W44),""))</f>
        <v/>
      </c>
    </row>
    <row r="45" spans="3:24" x14ac:dyDescent="0.45">
      <c r="C45" s="124"/>
      <c r="D45" s="105"/>
      <c r="E45" s="131"/>
      <c r="F45" s="71"/>
      <c r="G45" s="78" t="str">
        <f t="shared" si="1"/>
        <v/>
      </c>
      <c r="H45" s="3">
        <f t="shared" si="2"/>
        <v>0</v>
      </c>
      <c r="I45" s="20" t="str">
        <f t="shared" si="3"/>
        <v/>
      </c>
      <c r="J45" s="94" t="str">
        <f t="shared" si="0"/>
        <v/>
      </c>
      <c r="K45" s="20" t="str">
        <f t="shared" si="4"/>
        <v/>
      </c>
      <c r="L45" s="94" t="str">
        <f t="shared" si="5"/>
        <v/>
      </c>
      <c r="M45" s="84" t="str">
        <f t="shared" si="6"/>
        <v/>
      </c>
      <c r="O45" s="36" t="str">
        <f t="shared" si="7"/>
        <v/>
      </c>
      <c r="P45" s="27" t="str">
        <f t="shared" si="8"/>
        <v/>
      </c>
      <c r="Q45" s="30" t="str">
        <f t="shared" si="9"/>
        <v/>
      </c>
      <c r="R45" s="19"/>
      <c r="S45" s="19" t="str">
        <f t="shared" si="10"/>
        <v/>
      </c>
      <c r="T45" s="19" t="str">
        <f t="shared" si="11"/>
        <v/>
      </c>
      <c r="U45" s="57" t="str">
        <f t="shared" si="12"/>
        <v/>
      </c>
      <c r="V45" s="57" t="str">
        <f t="shared" si="13"/>
        <v/>
      </c>
      <c r="W45" s="63" t="str">
        <f>IF(U45="","",IF(T46="",P$4-SUM(W$14:W44),IF((YEAR(O45)*1000+MONTH(O45))&gt;=P$9,IF((YEAR(O45)*1000+MONTH(O45))=P$9,ROUND(U45,0),ROUND(T45,0)),"")))</f>
        <v/>
      </c>
      <c r="X45" s="59" t="str">
        <f>IF(S$10="","",IF(P45&lt;=S$10,IF(P45=S$10,P$4-SUM(W$14:W44),W45),""))</f>
        <v/>
      </c>
    </row>
    <row r="46" spans="3:24" x14ac:dyDescent="0.45">
      <c r="C46" s="124"/>
      <c r="D46" s="105"/>
      <c r="E46" s="131"/>
      <c r="F46" s="71"/>
      <c r="G46" s="78" t="str">
        <f t="shared" si="1"/>
        <v/>
      </c>
      <c r="H46" s="3">
        <f t="shared" si="2"/>
        <v>0</v>
      </c>
      <c r="I46" s="20" t="str">
        <f t="shared" si="3"/>
        <v/>
      </c>
      <c r="J46" s="94" t="str">
        <f t="shared" si="0"/>
        <v/>
      </c>
      <c r="K46" s="20" t="str">
        <f t="shared" si="4"/>
        <v/>
      </c>
      <c r="L46" s="94" t="str">
        <f t="shared" si="5"/>
        <v/>
      </c>
      <c r="M46" s="84" t="str">
        <f t="shared" si="6"/>
        <v/>
      </c>
      <c r="O46" s="36" t="str">
        <f t="shared" si="7"/>
        <v/>
      </c>
      <c r="P46" s="27" t="str">
        <f t="shared" si="8"/>
        <v/>
      </c>
      <c r="Q46" s="30" t="str">
        <f t="shared" si="9"/>
        <v/>
      </c>
      <c r="R46" s="19"/>
      <c r="S46" s="19" t="str">
        <f t="shared" si="10"/>
        <v/>
      </c>
      <c r="T46" s="19" t="str">
        <f t="shared" si="11"/>
        <v/>
      </c>
      <c r="U46" s="57" t="str">
        <f t="shared" si="12"/>
        <v/>
      </c>
      <c r="V46" s="57" t="str">
        <f t="shared" si="13"/>
        <v/>
      </c>
      <c r="W46" s="63" t="str">
        <f>IF(U46="","",IF(T47="",P$4-SUM(W$14:W45),IF((YEAR(O46)*1000+MONTH(O46))&gt;=P$9,IF((YEAR(O46)*1000+MONTH(O46))=P$9,ROUND(U46,0),ROUND(T46,0)),"")))</f>
        <v/>
      </c>
      <c r="X46" s="59" t="str">
        <f>IF(S$10="","",IF(P46&lt;=S$10,IF(P46=S$10,P$4-SUM(W$14:W45),W46),""))</f>
        <v/>
      </c>
    </row>
    <row r="47" spans="3:24" x14ac:dyDescent="0.45">
      <c r="C47" s="124"/>
      <c r="D47" s="105"/>
      <c r="E47" s="131"/>
      <c r="F47" s="71"/>
      <c r="G47" s="78" t="str">
        <f t="shared" si="1"/>
        <v/>
      </c>
      <c r="H47" s="3">
        <f t="shared" si="2"/>
        <v>0</v>
      </c>
      <c r="I47" s="20" t="str">
        <f t="shared" si="3"/>
        <v/>
      </c>
      <c r="J47" s="94" t="str">
        <f t="shared" si="0"/>
        <v/>
      </c>
      <c r="K47" s="20" t="str">
        <f t="shared" si="4"/>
        <v/>
      </c>
      <c r="L47" s="94" t="str">
        <f t="shared" si="5"/>
        <v/>
      </c>
      <c r="M47" s="84" t="str">
        <f t="shared" si="6"/>
        <v/>
      </c>
      <c r="O47" s="36" t="str">
        <f t="shared" si="7"/>
        <v/>
      </c>
      <c r="P47" s="27" t="str">
        <f t="shared" si="8"/>
        <v/>
      </c>
      <c r="Q47" s="30" t="str">
        <f t="shared" si="9"/>
        <v/>
      </c>
      <c r="R47" s="19"/>
      <c r="S47" s="19" t="str">
        <f t="shared" si="10"/>
        <v/>
      </c>
      <c r="T47" s="19" t="str">
        <f t="shared" si="11"/>
        <v/>
      </c>
      <c r="U47" s="57" t="str">
        <f t="shared" si="12"/>
        <v/>
      </c>
      <c r="V47" s="57" t="str">
        <f t="shared" si="13"/>
        <v/>
      </c>
      <c r="W47" s="63" t="str">
        <f>IF(U47="","",IF(T48="",P$4-SUM(W$14:W46),IF((YEAR(O47)*1000+MONTH(O47))&gt;=P$9,IF((YEAR(O47)*1000+MONTH(O47))=P$9,ROUND(U47,0),ROUND(T47,0)),"")))</f>
        <v/>
      </c>
      <c r="X47" s="59" t="str">
        <f>IF(S$10="","",IF(P47&lt;=S$10,IF(P47=S$10,P$4-SUM(W$14:W46),W47),""))</f>
        <v/>
      </c>
    </row>
    <row r="48" spans="3:24" x14ac:dyDescent="0.45">
      <c r="C48" s="124"/>
      <c r="D48" s="105"/>
      <c r="E48" s="131"/>
      <c r="F48" s="71"/>
      <c r="G48" s="78" t="str">
        <f t="shared" si="1"/>
        <v/>
      </c>
      <c r="H48" s="3">
        <f t="shared" si="2"/>
        <v>0</v>
      </c>
      <c r="I48" s="20" t="str">
        <f t="shared" si="3"/>
        <v/>
      </c>
      <c r="J48" s="94" t="str">
        <f t="shared" si="0"/>
        <v/>
      </c>
      <c r="K48" s="20" t="str">
        <f t="shared" si="4"/>
        <v/>
      </c>
      <c r="L48" s="94" t="str">
        <f t="shared" si="5"/>
        <v/>
      </c>
      <c r="M48" s="84" t="str">
        <f t="shared" si="6"/>
        <v/>
      </c>
      <c r="O48" s="36" t="str">
        <f t="shared" si="7"/>
        <v/>
      </c>
      <c r="P48" s="27" t="str">
        <f t="shared" si="8"/>
        <v/>
      </c>
      <c r="Q48" s="30" t="str">
        <f t="shared" si="9"/>
        <v/>
      </c>
      <c r="R48" s="19"/>
      <c r="S48" s="19" t="str">
        <f t="shared" si="10"/>
        <v/>
      </c>
      <c r="T48" s="19" t="str">
        <f t="shared" si="11"/>
        <v/>
      </c>
      <c r="U48" s="57" t="str">
        <f t="shared" si="12"/>
        <v/>
      </c>
      <c r="V48" s="57" t="str">
        <f t="shared" si="13"/>
        <v/>
      </c>
      <c r="W48" s="63" t="str">
        <f>IF(U48="","",IF(T49="",P$4-SUM(W$14:W47),IF((YEAR(O48)*1000+MONTH(O48))&gt;=P$9,IF((YEAR(O48)*1000+MONTH(O48))=P$9,ROUND(U48,0),ROUND(T48,0)),"")))</f>
        <v/>
      </c>
      <c r="X48" s="59" t="str">
        <f>IF(S$10="","",IF(P48&lt;=S$10,IF(P48=S$10,P$4-SUM(W$14:W47),W48),""))</f>
        <v/>
      </c>
    </row>
    <row r="49" spans="3:24" x14ac:dyDescent="0.45">
      <c r="C49" s="124"/>
      <c r="D49" s="105"/>
      <c r="E49" s="131"/>
      <c r="F49" s="71"/>
      <c r="G49" s="78" t="str">
        <f t="shared" si="1"/>
        <v/>
      </c>
      <c r="H49" s="3">
        <f t="shared" si="2"/>
        <v>0</v>
      </c>
      <c r="I49" s="20" t="str">
        <f t="shared" si="3"/>
        <v/>
      </c>
      <c r="J49" s="94" t="str">
        <f t="shared" si="0"/>
        <v/>
      </c>
      <c r="K49" s="20" t="str">
        <f t="shared" si="4"/>
        <v/>
      </c>
      <c r="L49" s="94" t="str">
        <f t="shared" si="5"/>
        <v/>
      </c>
      <c r="M49" s="84" t="str">
        <f t="shared" si="6"/>
        <v/>
      </c>
      <c r="O49" s="36" t="str">
        <f t="shared" si="7"/>
        <v/>
      </c>
      <c r="P49" s="27" t="str">
        <f t="shared" si="8"/>
        <v/>
      </c>
      <c r="Q49" s="30" t="str">
        <f t="shared" si="9"/>
        <v/>
      </c>
      <c r="R49" s="19"/>
      <c r="S49" s="19" t="str">
        <f t="shared" si="10"/>
        <v/>
      </c>
      <c r="T49" s="19" t="str">
        <f t="shared" si="11"/>
        <v/>
      </c>
      <c r="U49" s="57" t="str">
        <f t="shared" si="12"/>
        <v/>
      </c>
      <c r="V49" s="57" t="str">
        <f t="shared" si="13"/>
        <v/>
      </c>
      <c r="W49" s="63" t="str">
        <f>IF(U49="","",IF(T50="",P$4-SUM(W$14:W48),IF((YEAR(O49)*1000+MONTH(O49))&gt;=P$9,IF((YEAR(O49)*1000+MONTH(O49))=P$9,ROUND(U49,0),ROUND(T49,0)),"")))</f>
        <v/>
      </c>
      <c r="X49" s="59" t="str">
        <f>IF(S$10="","",IF(P49&lt;=S$10,IF(P49=S$10,P$4-SUM(W$14:W48),W49),""))</f>
        <v/>
      </c>
    </row>
    <row r="50" spans="3:24" x14ac:dyDescent="0.45">
      <c r="C50" s="124"/>
      <c r="D50" s="105"/>
      <c r="E50" s="131"/>
      <c r="F50" s="71"/>
      <c r="G50" s="78" t="str">
        <f t="shared" si="1"/>
        <v/>
      </c>
      <c r="H50" s="3">
        <f t="shared" si="2"/>
        <v>0</v>
      </c>
      <c r="I50" s="20" t="str">
        <f t="shared" si="3"/>
        <v/>
      </c>
      <c r="J50" s="94" t="str">
        <f t="shared" si="0"/>
        <v/>
      </c>
      <c r="K50" s="20" t="str">
        <f t="shared" si="4"/>
        <v/>
      </c>
      <c r="L50" s="94" t="str">
        <f t="shared" si="5"/>
        <v/>
      </c>
      <c r="M50" s="84" t="str">
        <f t="shared" si="6"/>
        <v/>
      </c>
      <c r="O50" s="36" t="str">
        <f t="shared" si="7"/>
        <v/>
      </c>
      <c r="P50" s="27" t="str">
        <f t="shared" si="8"/>
        <v/>
      </c>
      <c r="Q50" s="30" t="str">
        <f t="shared" si="9"/>
        <v/>
      </c>
      <c r="R50" s="19"/>
      <c r="S50" s="19" t="str">
        <f t="shared" si="10"/>
        <v/>
      </c>
      <c r="T50" s="19" t="str">
        <f t="shared" si="11"/>
        <v/>
      </c>
      <c r="U50" s="57" t="str">
        <f t="shared" si="12"/>
        <v/>
      </c>
      <c r="V50" s="57" t="str">
        <f t="shared" si="13"/>
        <v/>
      </c>
      <c r="W50" s="63" t="str">
        <f>IF(U50="","",IF(T51="",P$4-SUM(W$14:W49),IF((YEAR(O50)*1000+MONTH(O50))&gt;=P$9,IF((YEAR(O50)*1000+MONTH(O50))=P$9,ROUND(U50,0),ROUND(T50,0)),"")))</f>
        <v/>
      </c>
      <c r="X50" s="59" t="str">
        <f>IF(S$10="","",IF(P50&lt;=S$10,IF(P50=S$10,P$4-SUM(W$14:W49),W50),""))</f>
        <v/>
      </c>
    </row>
    <row r="51" spans="3:24" x14ac:dyDescent="0.45">
      <c r="C51" s="124"/>
      <c r="D51" s="105"/>
      <c r="E51" s="131"/>
      <c r="F51" s="71"/>
      <c r="G51" s="78" t="str">
        <f t="shared" si="1"/>
        <v/>
      </c>
      <c r="H51" s="3">
        <f t="shared" si="2"/>
        <v>0</v>
      </c>
      <c r="I51" s="20" t="str">
        <f t="shared" si="3"/>
        <v/>
      </c>
      <c r="J51" s="94" t="str">
        <f t="shared" si="0"/>
        <v/>
      </c>
      <c r="K51" s="20" t="str">
        <f t="shared" si="4"/>
        <v/>
      </c>
      <c r="L51" s="94" t="str">
        <f t="shared" si="5"/>
        <v/>
      </c>
      <c r="M51" s="84" t="str">
        <f t="shared" si="6"/>
        <v/>
      </c>
      <c r="O51" s="36" t="str">
        <f t="shared" si="7"/>
        <v/>
      </c>
      <c r="P51" s="27" t="str">
        <f t="shared" si="8"/>
        <v/>
      </c>
      <c r="Q51" s="30" t="str">
        <f t="shared" si="9"/>
        <v/>
      </c>
      <c r="R51" s="19"/>
      <c r="S51" s="19" t="str">
        <f t="shared" si="10"/>
        <v/>
      </c>
      <c r="T51" s="19" t="str">
        <f t="shared" si="11"/>
        <v/>
      </c>
      <c r="U51" s="57" t="str">
        <f t="shared" si="12"/>
        <v/>
      </c>
      <c r="V51" s="57" t="str">
        <f t="shared" si="13"/>
        <v/>
      </c>
      <c r="W51" s="63" t="str">
        <f>IF(U51="","",IF(T52="",P$4-SUM(W$14:W50),IF((YEAR(O51)*1000+MONTH(O51))&gt;=P$9,IF((YEAR(O51)*1000+MONTH(O51))=P$9,ROUND(U51,0),ROUND(T51,0)),"")))</f>
        <v/>
      </c>
      <c r="X51" s="59" t="str">
        <f>IF(S$10="","",IF(P51&lt;=S$10,IF(P51=S$10,P$4-SUM(W$14:W50),W51),""))</f>
        <v/>
      </c>
    </row>
    <row r="52" spans="3:24" x14ac:dyDescent="0.45">
      <c r="C52" s="124"/>
      <c r="D52" s="105"/>
      <c r="E52" s="131"/>
      <c r="F52" s="71"/>
      <c r="G52" s="78" t="str">
        <f t="shared" si="1"/>
        <v/>
      </c>
      <c r="H52" s="3">
        <f t="shared" si="2"/>
        <v>0</v>
      </c>
      <c r="I52" s="20" t="str">
        <f t="shared" si="3"/>
        <v/>
      </c>
      <c r="J52" s="94" t="str">
        <f t="shared" si="0"/>
        <v/>
      </c>
      <c r="K52" s="20" t="str">
        <f t="shared" si="4"/>
        <v/>
      </c>
      <c r="L52" s="94" t="str">
        <f t="shared" si="5"/>
        <v/>
      </c>
      <c r="M52" s="84" t="str">
        <f t="shared" si="6"/>
        <v/>
      </c>
      <c r="O52" s="36" t="str">
        <f t="shared" si="7"/>
        <v/>
      </c>
      <c r="P52" s="27" t="str">
        <f t="shared" si="8"/>
        <v/>
      </c>
      <c r="Q52" s="30" t="str">
        <f t="shared" si="9"/>
        <v/>
      </c>
      <c r="R52" s="19"/>
      <c r="S52" s="19" t="str">
        <f t="shared" si="10"/>
        <v/>
      </c>
      <c r="T52" s="19" t="str">
        <f t="shared" si="11"/>
        <v/>
      </c>
      <c r="U52" s="57" t="str">
        <f t="shared" si="12"/>
        <v/>
      </c>
      <c r="V52" s="57" t="str">
        <f t="shared" si="13"/>
        <v/>
      </c>
      <c r="W52" s="63" t="str">
        <f>IF(U52="","",IF(T53="",P$4-SUM(W$14:W51),IF((YEAR(O52)*1000+MONTH(O52))&gt;=P$9,IF((YEAR(O52)*1000+MONTH(O52))=P$9,ROUND(U52,0),ROUND(T52,0)),"")))</f>
        <v/>
      </c>
      <c r="X52" s="59" t="str">
        <f>IF(S$10="","",IF(P52&lt;=S$10,IF(P52=S$10,P$4-SUM(W$14:W51),W52),""))</f>
        <v/>
      </c>
    </row>
    <row r="53" spans="3:24" x14ac:dyDescent="0.45">
      <c r="C53" s="124"/>
      <c r="D53" s="105"/>
      <c r="E53" s="131"/>
      <c r="F53" s="71"/>
      <c r="G53" s="78" t="str">
        <f t="shared" si="1"/>
        <v/>
      </c>
      <c r="H53" s="3">
        <f t="shared" si="2"/>
        <v>0</v>
      </c>
      <c r="I53" s="20" t="str">
        <f t="shared" si="3"/>
        <v/>
      </c>
      <c r="J53" s="94" t="str">
        <f t="shared" si="0"/>
        <v/>
      </c>
      <c r="K53" s="20" t="str">
        <f t="shared" si="4"/>
        <v/>
      </c>
      <c r="L53" s="94" t="str">
        <f t="shared" si="5"/>
        <v/>
      </c>
      <c r="M53" s="84" t="str">
        <f t="shared" si="6"/>
        <v/>
      </c>
      <c r="O53" s="36" t="str">
        <f t="shared" si="7"/>
        <v/>
      </c>
      <c r="P53" s="27" t="str">
        <f t="shared" si="8"/>
        <v/>
      </c>
      <c r="Q53" s="30" t="str">
        <f t="shared" si="9"/>
        <v/>
      </c>
      <c r="R53" s="19"/>
      <c r="S53" s="19" t="str">
        <f t="shared" si="10"/>
        <v/>
      </c>
      <c r="T53" s="19" t="str">
        <f t="shared" si="11"/>
        <v/>
      </c>
      <c r="U53" s="57" t="str">
        <f t="shared" si="12"/>
        <v/>
      </c>
      <c r="V53" s="57" t="str">
        <f t="shared" si="13"/>
        <v/>
      </c>
      <c r="W53" s="63" t="str">
        <f>IF(U53="","",IF(T54="",P$4-SUM(W$14:W52),IF((YEAR(O53)*1000+MONTH(O53))&gt;=P$9,IF((YEAR(O53)*1000+MONTH(O53))=P$9,ROUND(U53,0),ROUND(T53,0)),"")))</f>
        <v/>
      </c>
      <c r="X53" s="59" t="str">
        <f>IF(S$10="","",IF(P53&lt;=S$10,IF(P53=S$10,P$4-SUM(W$14:W52),W53),""))</f>
        <v/>
      </c>
    </row>
    <row r="54" spans="3:24" x14ac:dyDescent="0.45">
      <c r="C54" s="124"/>
      <c r="D54" s="105"/>
      <c r="E54" s="131"/>
      <c r="F54" s="71"/>
      <c r="G54" s="78" t="str">
        <f t="shared" si="1"/>
        <v/>
      </c>
      <c r="H54" s="3">
        <f t="shared" si="2"/>
        <v>0</v>
      </c>
      <c r="I54" s="20" t="str">
        <f t="shared" si="3"/>
        <v/>
      </c>
      <c r="J54" s="94" t="str">
        <f t="shared" si="0"/>
        <v/>
      </c>
      <c r="K54" s="20" t="str">
        <f t="shared" si="4"/>
        <v/>
      </c>
      <c r="L54" s="94" t="str">
        <f t="shared" si="5"/>
        <v/>
      </c>
      <c r="M54" s="84" t="str">
        <f t="shared" si="6"/>
        <v/>
      </c>
      <c r="O54" s="36" t="str">
        <f t="shared" si="7"/>
        <v/>
      </c>
      <c r="P54" s="27" t="str">
        <f t="shared" si="8"/>
        <v/>
      </c>
      <c r="Q54" s="30" t="str">
        <f t="shared" si="9"/>
        <v/>
      </c>
      <c r="R54" s="19"/>
      <c r="S54" s="19" t="str">
        <f t="shared" si="10"/>
        <v/>
      </c>
      <c r="T54" s="19" t="str">
        <f t="shared" si="11"/>
        <v/>
      </c>
      <c r="U54" s="57" t="str">
        <f t="shared" si="12"/>
        <v/>
      </c>
      <c r="V54" s="57" t="str">
        <f t="shared" si="13"/>
        <v/>
      </c>
      <c r="W54" s="63" t="str">
        <f>IF(U54="","",IF(T55="",P$4-SUM(W$14:W53),IF((YEAR(O54)*1000+MONTH(O54))&gt;=P$9,IF((YEAR(O54)*1000+MONTH(O54))=P$9,ROUND(U54,0),ROUND(T54,0)),"")))</f>
        <v/>
      </c>
      <c r="X54" s="59" t="str">
        <f>IF(S$10="","",IF(P54&lt;=S$10,IF(P54=S$10,P$4-SUM(W$14:W53),W54),""))</f>
        <v/>
      </c>
    </row>
    <row r="55" spans="3:24" x14ac:dyDescent="0.45">
      <c r="C55" s="124"/>
      <c r="D55" s="105"/>
      <c r="E55" s="131"/>
      <c r="F55" s="71"/>
      <c r="G55" s="78" t="str">
        <f t="shared" si="1"/>
        <v/>
      </c>
      <c r="H55" s="3">
        <f t="shared" si="2"/>
        <v>0</v>
      </c>
      <c r="I55" s="20" t="str">
        <f t="shared" si="3"/>
        <v/>
      </c>
      <c r="J55" s="94" t="str">
        <f t="shared" si="0"/>
        <v/>
      </c>
      <c r="K55" s="20" t="str">
        <f t="shared" si="4"/>
        <v/>
      </c>
      <c r="L55" s="94" t="str">
        <f t="shared" si="5"/>
        <v/>
      </c>
      <c r="M55" s="84" t="str">
        <f t="shared" si="6"/>
        <v/>
      </c>
      <c r="O55" s="36" t="str">
        <f t="shared" si="7"/>
        <v/>
      </c>
      <c r="P55" s="27" t="str">
        <f t="shared" si="8"/>
        <v/>
      </c>
      <c r="Q55" s="30" t="str">
        <f t="shared" si="9"/>
        <v/>
      </c>
      <c r="R55" s="19"/>
      <c r="S55" s="19" t="str">
        <f t="shared" si="10"/>
        <v/>
      </c>
      <c r="T55" s="19" t="str">
        <f t="shared" si="11"/>
        <v/>
      </c>
      <c r="U55" s="57" t="str">
        <f t="shared" si="12"/>
        <v/>
      </c>
      <c r="V55" s="57" t="str">
        <f t="shared" si="13"/>
        <v/>
      </c>
      <c r="W55" s="63" t="str">
        <f>IF(U55="","",IF(T56="",P$4-SUM(W$14:W54),IF((YEAR(O55)*1000+MONTH(O55))&gt;=P$9,IF((YEAR(O55)*1000+MONTH(O55))=P$9,ROUND(U55,0),ROUND(T55,0)),"")))</f>
        <v/>
      </c>
      <c r="X55" s="59" t="str">
        <f>IF(S$10="","",IF(P55&lt;=S$10,IF(P55=S$10,P$4-SUM(W$14:W54),W55),""))</f>
        <v/>
      </c>
    </row>
    <row r="56" spans="3:24" x14ac:dyDescent="0.45">
      <c r="C56" s="124"/>
      <c r="D56" s="105"/>
      <c r="E56" s="131"/>
      <c r="F56" s="71"/>
      <c r="G56" s="78" t="str">
        <f t="shared" si="1"/>
        <v/>
      </c>
      <c r="H56" s="3">
        <f t="shared" si="2"/>
        <v>0</v>
      </c>
      <c r="I56" s="20" t="str">
        <f t="shared" si="3"/>
        <v/>
      </c>
      <c r="J56" s="94" t="str">
        <f t="shared" si="0"/>
        <v/>
      </c>
      <c r="K56" s="20" t="str">
        <f t="shared" si="4"/>
        <v/>
      </c>
      <c r="L56" s="94" t="str">
        <f t="shared" si="5"/>
        <v/>
      </c>
      <c r="M56" s="84" t="str">
        <f t="shared" si="6"/>
        <v/>
      </c>
      <c r="O56" s="36" t="str">
        <f t="shared" si="7"/>
        <v/>
      </c>
      <c r="P56" s="27" t="str">
        <f t="shared" si="8"/>
        <v/>
      </c>
      <c r="Q56" s="30" t="str">
        <f t="shared" si="9"/>
        <v/>
      </c>
      <c r="R56" s="19"/>
      <c r="S56" s="19" t="str">
        <f t="shared" si="10"/>
        <v/>
      </c>
      <c r="T56" s="19" t="str">
        <f t="shared" si="11"/>
        <v/>
      </c>
      <c r="U56" s="57" t="str">
        <f t="shared" si="12"/>
        <v/>
      </c>
      <c r="V56" s="57" t="str">
        <f t="shared" si="13"/>
        <v/>
      </c>
      <c r="W56" s="63" t="str">
        <f>IF(U56="","",IF(T57="",P$4-SUM(W$14:W55),IF((YEAR(O56)*1000+MONTH(O56))&gt;=P$9,IF((YEAR(O56)*1000+MONTH(O56))=P$9,ROUND(U56,0),ROUND(T56,0)),"")))</f>
        <v/>
      </c>
      <c r="X56" s="59" t="str">
        <f>IF(S$10="","",IF(P56&lt;=S$10,IF(P56=S$10,P$4-SUM(W$14:W55),W56),""))</f>
        <v/>
      </c>
    </row>
    <row r="57" spans="3:24" x14ac:dyDescent="0.45">
      <c r="C57" s="124"/>
      <c r="D57" s="105"/>
      <c r="E57" s="131"/>
      <c r="F57" s="71"/>
      <c r="G57" s="78" t="str">
        <f t="shared" si="1"/>
        <v/>
      </c>
      <c r="H57" s="3">
        <f t="shared" si="2"/>
        <v>0</v>
      </c>
      <c r="I57" s="20" t="str">
        <f t="shared" si="3"/>
        <v/>
      </c>
      <c r="J57" s="94" t="str">
        <f t="shared" si="0"/>
        <v/>
      </c>
      <c r="K57" s="20" t="str">
        <f t="shared" si="4"/>
        <v/>
      </c>
      <c r="L57" s="94" t="str">
        <f t="shared" si="5"/>
        <v/>
      </c>
      <c r="M57" s="84" t="str">
        <f t="shared" si="6"/>
        <v/>
      </c>
      <c r="O57" s="36" t="str">
        <f t="shared" si="7"/>
        <v/>
      </c>
      <c r="P57" s="27" t="str">
        <f t="shared" si="8"/>
        <v/>
      </c>
      <c r="Q57" s="30" t="str">
        <f t="shared" si="9"/>
        <v/>
      </c>
      <c r="R57" s="19"/>
      <c r="S57" s="19" t="str">
        <f t="shared" si="10"/>
        <v/>
      </c>
      <c r="T57" s="19" t="str">
        <f t="shared" si="11"/>
        <v/>
      </c>
      <c r="U57" s="57" t="str">
        <f t="shared" si="12"/>
        <v/>
      </c>
      <c r="V57" s="57" t="str">
        <f t="shared" si="13"/>
        <v/>
      </c>
      <c r="W57" s="63" t="str">
        <f>IF(U57="","",IF(T58="",P$4-SUM(W$14:W56),IF((YEAR(O57)*1000+MONTH(O57))&gt;=P$9,IF((YEAR(O57)*1000+MONTH(O57))=P$9,ROUND(U57,0),ROUND(T57,0)),"")))</f>
        <v/>
      </c>
      <c r="X57" s="59" t="str">
        <f>IF(S$10="","",IF(P57&lt;=S$10,IF(P57=S$10,P$4-SUM(W$14:W56),W57),""))</f>
        <v/>
      </c>
    </row>
    <row r="58" spans="3:24" x14ac:dyDescent="0.45">
      <c r="C58" s="124"/>
      <c r="D58" s="105"/>
      <c r="E58" s="131"/>
      <c r="F58" s="71"/>
      <c r="G58" s="78" t="str">
        <f t="shared" si="1"/>
        <v/>
      </c>
      <c r="H58" s="3">
        <f t="shared" si="2"/>
        <v>0</v>
      </c>
      <c r="I58" s="20" t="str">
        <f t="shared" si="3"/>
        <v/>
      </c>
      <c r="J58" s="94" t="str">
        <f t="shared" si="0"/>
        <v/>
      </c>
      <c r="K58" s="20" t="str">
        <f t="shared" si="4"/>
        <v/>
      </c>
      <c r="L58" s="94" t="str">
        <f t="shared" si="5"/>
        <v/>
      </c>
      <c r="M58" s="84" t="str">
        <f t="shared" si="6"/>
        <v/>
      </c>
      <c r="O58" s="36" t="str">
        <f t="shared" si="7"/>
        <v/>
      </c>
      <c r="P58" s="27" t="str">
        <f t="shared" si="8"/>
        <v/>
      </c>
      <c r="Q58" s="30" t="str">
        <f t="shared" si="9"/>
        <v/>
      </c>
      <c r="R58" s="19"/>
      <c r="S58" s="19" t="str">
        <f t="shared" si="10"/>
        <v/>
      </c>
      <c r="T58" s="19" t="str">
        <f t="shared" si="11"/>
        <v/>
      </c>
      <c r="U58" s="57" t="str">
        <f t="shared" si="12"/>
        <v/>
      </c>
      <c r="V58" s="57" t="str">
        <f t="shared" si="13"/>
        <v/>
      </c>
      <c r="W58" s="63" t="str">
        <f>IF(U58="","",IF(T59="",P$4-SUM(W$14:W57),IF((YEAR(O58)*1000+MONTH(O58))&gt;=P$9,IF((YEAR(O58)*1000+MONTH(O58))=P$9,ROUND(U58,0),ROUND(T58,0)),"")))</f>
        <v/>
      </c>
      <c r="X58" s="59" t="str">
        <f>IF(S$10="","",IF(P58&lt;=S$10,IF(P58=S$10,P$4-SUM(W$14:W57),W58),""))</f>
        <v/>
      </c>
    </row>
    <row r="59" spans="3:24" x14ac:dyDescent="0.45">
      <c r="C59" s="124"/>
      <c r="D59" s="105"/>
      <c r="E59" s="131"/>
      <c r="F59" s="71"/>
      <c r="G59" s="78" t="str">
        <f t="shared" si="1"/>
        <v/>
      </c>
      <c r="H59" s="3">
        <f t="shared" si="2"/>
        <v>0</v>
      </c>
      <c r="I59" s="20" t="str">
        <f t="shared" si="3"/>
        <v/>
      </c>
      <c r="J59" s="94" t="str">
        <f t="shared" si="0"/>
        <v/>
      </c>
      <c r="K59" s="20" t="str">
        <f t="shared" si="4"/>
        <v/>
      </c>
      <c r="L59" s="94" t="str">
        <f t="shared" si="5"/>
        <v/>
      </c>
      <c r="M59" s="84" t="str">
        <f t="shared" si="6"/>
        <v/>
      </c>
      <c r="O59" s="36" t="str">
        <f t="shared" si="7"/>
        <v/>
      </c>
      <c r="P59" s="27" t="str">
        <f t="shared" si="8"/>
        <v/>
      </c>
      <c r="Q59" s="30" t="str">
        <f t="shared" si="9"/>
        <v/>
      </c>
      <c r="R59" s="19"/>
      <c r="S59" s="19" t="str">
        <f t="shared" si="10"/>
        <v/>
      </c>
      <c r="T59" s="19" t="str">
        <f t="shared" si="11"/>
        <v/>
      </c>
      <c r="U59" s="57" t="str">
        <f t="shared" si="12"/>
        <v/>
      </c>
      <c r="V59" s="57" t="str">
        <f t="shared" si="13"/>
        <v/>
      </c>
      <c r="W59" s="63" t="str">
        <f>IF(U59="","",IF(T60="",P$4-SUM(W$14:W58),IF((YEAR(O59)*1000+MONTH(O59))&gt;=P$9,IF((YEAR(O59)*1000+MONTH(O59))=P$9,ROUND(U59,0),ROUND(T59,0)),"")))</f>
        <v/>
      </c>
      <c r="X59" s="59" t="str">
        <f>IF(S$10="","",IF(P59&lt;=S$10,IF(P59=S$10,P$4-SUM(W$14:W58),W59),""))</f>
        <v/>
      </c>
    </row>
    <row r="60" spans="3:24" x14ac:dyDescent="0.45">
      <c r="C60" s="124"/>
      <c r="D60" s="105"/>
      <c r="E60" s="131"/>
      <c r="F60" s="71"/>
      <c r="G60" s="78" t="str">
        <f t="shared" si="1"/>
        <v/>
      </c>
      <c r="H60" s="3">
        <f t="shared" si="2"/>
        <v>0</v>
      </c>
      <c r="I60" s="20" t="str">
        <f t="shared" si="3"/>
        <v/>
      </c>
      <c r="J60" s="94" t="str">
        <f t="shared" si="0"/>
        <v/>
      </c>
      <c r="K60" s="20" t="str">
        <f t="shared" si="4"/>
        <v/>
      </c>
      <c r="L60" s="94" t="str">
        <f t="shared" si="5"/>
        <v/>
      </c>
      <c r="M60" s="84" t="str">
        <f t="shared" si="6"/>
        <v/>
      </c>
      <c r="O60" s="36" t="str">
        <f t="shared" si="7"/>
        <v/>
      </c>
      <c r="P60" s="27" t="str">
        <f t="shared" si="8"/>
        <v/>
      </c>
      <c r="Q60" s="30" t="str">
        <f t="shared" si="9"/>
        <v/>
      </c>
      <c r="R60" s="19"/>
      <c r="S60" s="19" t="str">
        <f t="shared" si="10"/>
        <v/>
      </c>
      <c r="T60" s="19" t="str">
        <f t="shared" si="11"/>
        <v/>
      </c>
      <c r="U60" s="57" t="str">
        <f t="shared" si="12"/>
        <v/>
      </c>
      <c r="V60" s="57" t="str">
        <f t="shared" si="13"/>
        <v/>
      </c>
      <c r="W60" s="63" t="str">
        <f>IF(U60="","",IF(T61="",P$4-SUM(W$14:W59),IF((YEAR(O60)*1000+MONTH(O60))&gt;=P$9,IF((YEAR(O60)*1000+MONTH(O60))=P$9,ROUND(U60,0),ROUND(T60,0)),"")))</f>
        <v/>
      </c>
      <c r="X60" s="59" t="str">
        <f>IF(S$10="","",IF(P60&lt;=S$10,IF(P60=S$10,P$4-SUM(W$14:W59),W60),""))</f>
        <v/>
      </c>
    </row>
    <row r="61" spans="3:24" x14ac:dyDescent="0.45">
      <c r="C61" s="124"/>
      <c r="D61" s="105"/>
      <c r="E61" s="131"/>
      <c r="F61" s="71"/>
      <c r="G61" s="78" t="str">
        <f t="shared" si="1"/>
        <v/>
      </c>
      <c r="H61" s="3">
        <f t="shared" si="2"/>
        <v>0</v>
      </c>
      <c r="I61" s="20" t="str">
        <f t="shared" si="3"/>
        <v/>
      </c>
      <c r="J61" s="94" t="str">
        <f t="shared" si="0"/>
        <v/>
      </c>
      <c r="K61" s="20" t="str">
        <f t="shared" si="4"/>
        <v/>
      </c>
      <c r="L61" s="94" t="str">
        <f t="shared" si="5"/>
        <v/>
      </c>
      <c r="M61" s="84" t="str">
        <f t="shared" si="6"/>
        <v/>
      </c>
      <c r="O61" s="36" t="str">
        <f t="shared" si="7"/>
        <v/>
      </c>
      <c r="P61" s="27" t="str">
        <f t="shared" si="8"/>
        <v/>
      </c>
      <c r="Q61" s="30" t="str">
        <f t="shared" si="9"/>
        <v/>
      </c>
      <c r="R61" s="19"/>
      <c r="S61" s="19" t="str">
        <f t="shared" si="10"/>
        <v/>
      </c>
      <c r="T61" s="19" t="str">
        <f t="shared" si="11"/>
        <v/>
      </c>
      <c r="U61" s="57" t="str">
        <f t="shared" si="12"/>
        <v/>
      </c>
      <c r="V61" s="57" t="str">
        <f t="shared" si="13"/>
        <v/>
      </c>
      <c r="W61" s="63" t="str">
        <f>IF(U61="","",IF(T62="",P$4-SUM(W$14:W60),IF((YEAR(O61)*1000+MONTH(O61))&gt;=P$9,IF((YEAR(O61)*1000+MONTH(O61))=P$9,ROUND(U61,0),ROUND(T61,0)),"")))</f>
        <v/>
      </c>
      <c r="X61" s="59" t="str">
        <f>IF(S$10="","",IF(P61&lt;=S$10,IF(P61=S$10,P$4-SUM(W$14:W60),W61),""))</f>
        <v/>
      </c>
    </row>
    <row r="62" spans="3:24" x14ac:dyDescent="0.45">
      <c r="C62" s="124"/>
      <c r="D62" s="105"/>
      <c r="E62" s="131"/>
      <c r="F62" s="71"/>
      <c r="G62" s="78" t="str">
        <f t="shared" si="1"/>
        <v/>
      </c>
      <c r="H62" s="3">
        <f t="shared" si="2"/>
        <v>0</v>
      </c>
      <c r="I62" s="20" t="str">
        <f t="shared" si="3"/>
        <v/>
      </c>
      <c r="J62" s="94" t="str">
        <f t="shared" si="0"/>
        <v/>
      </c>
      <c r="K62" s="20" t="str">
        <f t="shared" si="4"/>
        <v/>
      </c>
      <c r="L62" s="94" t="str">
        <f t="shared" si="5"/>
        <v/>
      </c>
      <c r="M62" s="84" t="str">
        <f t="shared" si="6"/>
        <v/>
      </c>
      <c r="O62" s="36" t="str">
        <f t="shared" si="7"/>
        <v/>
      </c>
      <c r="P62" s="27" t="str">
        <f t="shared" si="8"/>
        <v/>
      </c>
      <c r="Q62" s="30" t="str">
        <f t="shared" si="9"/>
        <v/>
      </c>
      <c r="R62" s="19"/>
      <c r="S62" s="19" t="str">
        <f t="shared" si="10"/>
        <v/>
      </c>
      <c r="T62" s="19" t="str">
        <f t="shared" si="11"/>
        <v/>
      </c>
      <c r="U62" s="57" t="str">
        <f t="shared" si="12"/>
        <v/>
      </c>
      <c r="V62" s="57" t="str">
        <f t="shared" si="13"/>
        <v/>
      </c>
      <c r="W62" s="63" t="str">
        <f>IF(U62="","",IF(T63="",P$4-SUM(W$14:W61),IF((YEAR(O62)*1000+MONTH(O62))&gt;=P$9,IF((YEAR(O62)*1000+MONTH(O62))=P$9,ROUND(U62,0),ROUND(T62,0)),"")))</f>
        <v/>
      </c>
      <c r="X62" s="59" t="str">
        <f>IF(S$10="","",IF(P62&lt;=S$10,IF(P62=S$10,P$4-SUM(W$14:W61),W62),""))</f>
        <v/>
      </c>
    </row>
    <row r="63" spans="3:24" x14ac:dyDescent="0.45">
      <c r="C63" s="124"/>
      <c r="D63" s="105"/>
      <c r="E63" s="131"/>
      <c r="F63" s="71"/>
      <c r="G63" s="78" t="str">
        <f t="shared" si="1"/>
        <v/>
      </c>
      <c r="H63" s="3">
        <f t="shared" si="2"/>
        <v>0</v>
      </c>
      <c r="I63" s="20" t="str">
        <f t="shared" si="3"/>
        <v/>
      </c>
      <c r="J63" s="94" t="str">
        <f t="shared" si="0"/>
        <v/>
      </c>
      <c r="K63" s="20" t="str">
        <f t="shared" si="4"/>
        <v/>
      </c>
      <c r="L63" s="94" t="str">
        <f t="shared" si="5"/>
        <v/>
      </c>
      <c r="M63" s="84" t="str">
        <f t="shared" si="6"/>
        <v/>
      </c>
      <c r="O63" s="36" t="str">
        <f t="shared" si="7"/>
        <v/>
      </c>
      <c r="P63" s="27" t="str">
        <f t="shared" si="8"/>
        <v/>
      </c>
      <c r="Q63" s="30" t="str">
        <f t="shared" si="9"/>
        <v/>
      </c>
      <c r="R63" s="19"/>
      <c r="S63" s="19" t="str">
        <f t="shared" si="10"/>
        <v/>
      </c>
      <c r="T63" s="19" t="str">
        <f t="shared" si="11"/>
        <v/>
      </c>
      <c r="U63" s="57" t="str">
        <f t="shared" si="12"/>
        <v/>
      </c>
      <c r="V63" s="57" t="str">
        <f t="shared" si="13"/>
        <v/>
      </c>
      <c r="W63" s="63" t="str">
        <f>IF(U63="","",IF(T64="",P$4-SUM(W$14:W62),IF((YEAR(O63)*1000+MONTH(O63))&gt;=P$9,IF((YEAR(O63)*1000+MONTH(O63))=P$9,ROUND(U63,0),ROUND(T63,0)),"")))</f>
        <v/>
      </c>
      <c r="X63" s="59" t="str">
        <f>IF(S$10="","",IF(P63&lt;=S$10,IF(P63=S$10,P$4-SUM(W$14:W62),W63),""))</f>
        <v/>
      </c>
    </row>
    <row r="64" spans="3:24" x14ac:dyDescent="0.45">
      <c r="C64" s="124"/>
      <c r="D64" s="105"/>
      <c r="E64" s="131"/>
      <c r="F64" s="71"/>
      <c r="G64" s="78" t="str">
        <f t="shared" si="1"/>
        <v/>
      </c>
      <c r="H64" s="3">
        <f t="shared" si="2"/>
        <v>0</v>
      </c>
      <c r="I64" s="20" t="str">
        <f t="shared" si="3"/>
        <v/>
      </c>
      <c r="J64" s="94" t="str">
        <f t="shared" si="0"/>
        <v/>
      </c>
      <c r="K64" s="20" t="str">
        <f t="shared" si="4"/>
        <v/>
      </c>
      <c r="L64" s="94" t="str">
        <f t="shared" si="5"/>
        <v/>
      </c>
      <c r="M64" s="84" t="str">
        <f t="shared" si="6"/>
        <v/>
      </c>
      <c r="O64" s="36" t="str">
        <f t="shared" si="7"/>
        <v/>
      </c>
      <c r="P64" s="27" t="str">
        <f t="shared" si="8"/>
        <v/>
      </c>
      <c r="Q64" s="30" t="str">
        <f t="shared" si="9"/>
        <v/>
      </c>
      <c r="R64" s="19"/>
      <c r="S64" s="19" t="str">
        <f t="shared" si="10"/>
        <v/>
      </c>
      <c r="T64" s="19" t="str">
        <f t="shared" si="11"/>
        <v/>
      </c>
      <c r="U64" s="57" t="str">
        <f t="shared" si="12"/>
        <v/>
      </c>
      <c r="V64" s="57" t="str">
        <f t="shared" si="13"/>
        <v/>
      </c>
      <c r="W64" s="63" t="str">
        <f>IF(U64="","",IF(T65="",P$4-SUM(W$14:W63),IF((YEAR(O64)*1000+MONTH(O64))&gt;=P$9,IF((YEAR(O64)*1000+MONTH(O64))=P$9,ROUND(U64,0),ROUND(T64,0)),"")))</f>
        <v/>
      </c>
      <c r="X64" s="59" t="str">
        <f>IF(S$10="","",IF(P64&lt;=S$10,IF(P64=S$10,P$4-SUM(W$14:W63),W64),""))</f>
        <v/>
      </c>
    </row>
    <row r="65" spans="3:24" x14ac:dyDescent="0.45">
      <c r="C65" s="124"/>
      <c r="D65" s="105"/>
      <c r="E65" s="131"/>
      <c r="F65" s="71"/>
      <c r="G65" s="78" t="str">
        <f t="shared" si="1"/>
        <v/>
      </c>
      <c r="H65" s="3">
        <f t="shared" si="2"/>
        <v>0</v>
      </c>
      <c r="I65" s="20" t="str">
        <f t="shared" si="3"/>
        <v/>
      </c>
      <c r="J65" s="94" t="str">
        <f t="shared" si="0"/>
        <v/>
      </c>
      <c r="K65" s="20" t="str">
        <f t="shared" si="4"/>
        <v/>
      </c>
      <c r="L65" s="94" t="str">
        <f t="shared" si="5"/>
        <v/>
      </c>
      <c r="M65" s="84" t="str">
        <f t="shared" si="6"/>
        <v/>
      </c>
      <c r="O65" s="36" t="str">
        <f t="shared" si="7"/>
        <v/>
      </c>
      <c r="P65" s="27" t="str">
        <f t="shared" si="8"/>
        <v/>
      </c>
      <c r="Q65" s="30" t="str">
        <f t="shared" si="9"/>
        <v/>
      </c>
      <c r="R65" s="19"/>
      <c r="S65" s="19" t="str">
        <f t="shared" si="10"/>
        <v/>
      </c>
      <c r="T65" s="19" t="str">
        <f t="shared" si="11"/>
        <v/>
      </c>
      <c r="U65" s="57" t="str">
        <f t="shared" si="12"/>
        <v/>
      </c>
      <c r="V65" s="57" t="str">
        <f t="shared" si="13"/>
        <v/>
      </c>
      <c r="W65" s="63" t="str">
        <f>IF(U65="","",IF(T66="",P$4-SUM(W$14:W64),IF((YEAR(O65)*1000+MONTH(O65))&gt;=P$9,IF((YEAR(O65)*1000+MONTH(O65))=P$9,ROUND(U65,0),ROUND(T65,0)),"")))</f>
        <v/>
      </c>
      <c r="X65" s="59" t="str">
        <f>IF(S$10="","",IF(P65&lt;=S$10,IF(P65=S$10,P$4-SUM(W$14:W64),W65),""))</f>
        <v/>
      </c>
    </row>
    <row r="66" spans="3:24" x14ac:dyDescent="0.45">
      <c r="C66" s="124"/>
      <c r="D66" s="105"/>
      <c r="E66" s="131"/>
      <c r="F66" s="71"/>
      <c r="G66" s="78" t="str">
        <f t="shared" si="1"/>
        <v/>
      </c>
      <c r="H66" s="3">
        <f t="shared" si="2"/>
        <v>0</v>
      </c>
      <c r="I66" s="20" t="str">
        <f t="shared" si="3"/>
        <v/>
      </c>
      <c r="J66" s="94" t="str">
        <f t="shared" si="0"/>
        <v/>
      </c>
      <c r="K66" s="20" t="str">
        <f t="shared" si="4"/>
        <v/>
      </c>
      <c r="L66" s="94" t="str">
        <f t="shared" si="5"/>
        <v/>
      </c>
      <c r="M66" s="84" t="str">
        <f t="shared" si="6"/>
        <v/>
      </c>
      <c r="O66" s="36" t="str">
        <f t="shared" si="7"/>
        <v/>
      </c>
      <c r="P66" s="27" t="str">
        <f t="shared" si="8"/>
        <v/>
      </c>
      <c r="Q66" s="30" t="str">
        <f t="shared" si="9"/>
        <v/>
      </c>
      <c r="R66" s="19"/>
      <c r="S66" s="19" t="str">
        <f t="shared" si="10"/>
        <v/>
      </c>
      <c r="T66" s="19" t="str">
        <f t="shared" si="11"/>
        <v/>
      </c>
      <c r="U66" s="57" t="str">
        <f t="shared" si="12"/>
        <v/>
      </c>
      <c r="V66" s="57" t="str">
        <f t="shared" si="13"/>
        <v/>
      </c>
      <c r="W66" s="63" t="str">
        <f>IF(U66="","",IF(T67="",P$4-SUM(W$14:W65),IF((YEAR(O66)*1000+MONTH(O66))&gt;=P$9,IF((YEAR(O66)*1000+MONTH(O66))=P$9,ROUND(U66,0),ROUND(T66,0)),"")))</f>
        <v/>
      </c>
      <c r="X66" s="59" t="str">
        <f>IF(S$10="","",IF(P66&lt;=S$10,IF(P66=S$10,P$4-SUM(W$14:W65),W66),""))</f>
        <v/>
      </c>
    </row>
    <row r="67" spans="3:24" x14ac:dyDescent="0.45">
      <c r="C67" s="124"/>
      <c r="D67" s="105"/>
      <c r="E67" s="131"/>
      <c r="F67" s="71"/>
      <c r="G67" s="78" t="str">
        <f t="shared" si="1"/>
        <v/>
      </c>
      <c r="H67" s="3">
        <f t="shared" si="2"/>
        <v>0</v>
      </c>
      <c r="I67" s="20" t="str">
        <f t="shared" si="3"/>
        <v/>
      </c>
      <c r="J67" s="94" t="str">
        <f t="shared" si="0"/>
        <v/>
      </c>
      <c r="K67" s="20" t="str">
        <f t="shared" si="4"/>
        <v/>
      </c>
      <c r="L67" s="94" t="str">
        <f t="shared" si="5"/>
        <v/>
      </c>
      <c r="M67" s="84" t="str">
        <f t="shared" si="6"/>
        <v/>
      </c>
      <c r="O67" s="36" t="str">
        <f t="shared" si="7"/>
        <v/>
      </c>
      <c r="P67" s="27" t="str">
        <f t="shared" si="8"/>
        <v/>
      </c>
      <c r="Q67" s="30" t="str">
        <f t="shared" si="9"/>
        <v/>
      </c>
      <c r="R67" s="19"/>
      <c r="S67" s="19" t="str">
        <f t="shared" si="10"/>
        <v/>
      </c>
      <c r="T67" s="19" t="str">
        <f t="shared" si="11"/>
        <v/>
      </c>
      <c r="U67" s="57" t="str">
        <f t="shared" si="12"/>
        <v/>
      </c>
      <c r="V67" s="57" t="str">
        <f t="shared" si="13"/>
        <v/>
      </c>
      <c r="W67" s="63" t="str">
        <f>IF(U67="","",IF(T68="",P$4-SUM(W$14:W66),IF((YEAR(O67)*1000+MONTH(O67))&gt;=P$9,IF((YEAR(O67)*1000+MONTH(O67))=P$9,ROUND(U67,0),ROUND(T67,0)),"")))</f>
        <v/>
      </c>
      <c r="X67" s="59" t="str">
        <f>IF(S$10="","",IF(P67&lt;=S$10,IF(P67=S$10,P$4-SUM(W$14:W66),W67),""))</f>
        <v/>
      </c>
    </row>
    <row r="68" spans="3:24" x14ac:dyDescent="0.45">
      <c r="C68" s="124"/>
      <c r="D68" s="105"/>
      <c r="E68" s="131"/>
      <c r="F68" s="71"/>
      <c r="G68" s="78" t="str">
        <f t="shared" si="1"/>
        <v/>
      </c>
      <c r="H68" s="3">
        <f t="shared" si="2"/>
        <v>0</v>
      </c>
      <c r="I68" s="20" t="str">
        <f t="shared" si="3"/>
        <v/>
      </c>
      <c r="J68" s="94" t="str">
        <f t="shared" si="0"/>
        <v/>
      </c>
      <c r="K68" s="20" t="str">
        <f t="shared" si="4"/>
        <v/>
      </c>
      <c r="L68" s="94" t="str">
        <f t="shared" si="5"/>
        <v/>
      </c>
      <c r="M68" s="84" t="str">
        <f t="shared" si="6"/>
        <v/>
      </c>
      <c r="O68" s="36" t="str">
        <f t="shared" si="7"/>
        <v/>
      </c>
      <c r="P68" s="27" t="str">
        <f t="shared" si="8"/>
        <v/>
      </c>
      <c r="Q68" s="30" t="str">
        <f t="shared" si="9"/>
        <v/>
      </c>
      <c r="R68" s="19"/>
      <c r="S68" s="19" t="str">
        <f t="shared" si="10"/>
        <v/>
      </c>
      <c r="T68" s="19" t="str">
        <f t="shared" si="11"/>
        <v/>
      </c>
      <c r="U68" s="57" t="str">
        <f t="shared" si="12"/>
        <v/>
      </c>
      <c r="V68" s="57" t="str">
        <f t="shared" si="13"/>
        <v/>
      </c>
      <c r="W68" s="63" t="str">
        <f>IF(U68="","",IF(T69="",P$4-SUM(W$14:W67),IF((YEAR(O68)*1000+MONTH(O68))&gt;=P$9,IF((YEAR(O68)*1000+MONTH(O68))=P$9,ROUND(U68,0),ROUND(T68,0)),"")))</f>
        <v/>
      </c>
      <c r="X68" s="59" t="str">
        <f>IF(S$10="","",IF(P68&lt;=S$10,IF(P68=S$10,P$4-SUM(W$14:W67),W68),""))</f>
        <v/>
      </c>
    </row>
    <row r="69" spans="3:24" x14ac:dyDescent="0.45">
      <c r="C69" s="124"/>
      <c r="D69" s="105"/>
      <c r="E69" s="131"/>
      <c r="F69" s="71"/>
      <c r="G69" s="78" t="str">
        <f t="shared" si="1"/>
        <v/>
      </c>
      <c r="H69" s="3">
        <f t="shared" si="2"/>
        <v>0</v>
      </c>
      <c r="I69" s="20" t="str">
        <f t="shared" si="3"/>
        <v/>
      </c>
      <c r="J69" s="94" t="str">
        <f t="shared" si="0"/>
        <v/>
      </c>
      <c r="K69" s="20" t="str">
        <f t="shared" si="4"/>
        <v/>
      </c>
      <c r="L69" s="94" t="str">
        <f t="shared" si="5"/>
        <v/>
      </c>
      <c r="M69" s="84" t="str">
        <f t="shared" si="6"/>
        <v/>
      </c>
      <c r="O69" s="36" t="str">
        <f t="shared" si="7"/>
        <v/>
      </c>
      <c r="P69" s="27" t="str">
        <f t="shared" si="8"/>
        <v/>
      </c>
      <c r="Q69" s="30" t="str">
        <f t="shared" si="9"/>
        <v/>
      </c>
      <c r="R69" s="19"/>
      <c r="S69" s="19" t="str">
        <f t="shared" si="10"/>
        <v/>
      </c>
      <c r="T69" s="19" t="str">
        <f t="shared" si="11"/>
        <v/>
      </c>
      <c r="U69" s="57" t="str">
        <f t="shared" si="12"/>
        <v/>
      </c>
      <c r="V69" s="57" t="str">
        <f t="shared" si="13"/>
        <v/>
      </c>
      <c r="W69" s="63" t="str">
        <f>IF(U69="","",IF(T70="",P$4-SUM(W$14:W68),IF((YEAR(O69)*1000+MONTH(O69))&gt;=P$9,IF((YEAR(O69)*1000+MONTH(O69))=P$9,ROUND(U69,0),ROUND(T69,0)),"")))</f>
        <v/>
      </c>
      <c r="X69" s="59" t="str">
        <f>IF(S$10="","",IF(P69&lt;=S$10,IF(P69=S$10,P$4-SUM(W$14:W68),W69),""))</f>
        <v/>
      </c>
    </row>
    <row r="70" spans="3:24" x14ac:dyDescent="0.45">
      <c r="C70" s="124"/>
      <c r="D70" s="105"/>
      <c r="E70" s="131"/>
      <c r="F70" s="71"/>
      <c r="G70" s="78" t="str">
        <f t="shared" si="1"/>
        <v/>
      </c>
      <c r="H70" s="3">
        <f t="shared" si="2"/>
        <v>0</v>
      </c>
      <c r="I70" s="20" t="str">
        <f t="shared" si="3"/>
        <v/>
      </c>
      <c r="J70" s="94" t="str">
        <f t="shared" si="0"/>
        <v/>
      </c>
      <c r="K70" s="20" t="str">
        <f t="shared" si="4"/>
        <v/>
      </c>
      <c r="L70" s="94" t="str">
        <f t="shared" si="5"/>
        <v/>
      </c>
      <c r="M70" s="84" t="str">
        <f t="shared" si="6"/>
        <v/>
      </c>
      <c r="O70" s="36" t="str">
        <f t="shared" si="7"/>
        <v/>
      </c>
      <c r="P70" s="27" t="str">
        <f t="shared" si="8"/>
        <v/>
      </c>
      <c r="Q70" s="30" t="str">
        <f t="shared" si="9"/>
        <v/>
      </c>
      <c r="R70" s="19"/>
      <c r="S70" s="19" t="str">
        <f t="shared" si="10"/>
        <v/>
      </c>
      <c r="T70" s="19" t="str">
        <f t="shared" si="11"/>
        <v/>
      </c>
      <c r="U70" s="57" t="str">
        <f t="shared" si="12"/>
        <v/>
      </c>
      <c r="V70" s="57" t="str">
        <f t="shared" si="13"/>
        <v/>
      </c>
      <c r="W70" s="63" t="str">
        <f>IF(U70="","",IF(T71="",P$4-SUM(W$14:W69),IF((YEAR(O70)*1000+MONTH(O70))&gt;=P$9,IF((YEAR(O70)*1000+MONTH(O70))=P$9,ROUND(U70,0),ROUND(T70,0)),"")))</f>
        <v/>
      </c>
      <c r="X70" s="59" t="str">
        <f>IF(S$10="","",IF(P70&lt;=S$10,IF(P70=S$10,P$4-SUM(W$14:W69),W70),""))</f>
        <v/>
      </c>
    </row>
    <row r="71" spans="3:24" x14ac:dyDescent="0.45">
      <c r="C71" s="124"/>
      <c r="D71" s="105"/>
      <c r="E71" s="131"/>
      <c r="F71" s="71"/>
      <c r="G71" s="78" t="str">
        <f t="shared" si="1"/>
        <v/>
      </c>
      <c r="H71" s="3">
        <f t="shared" si="2"/>
        <v>0</v>
      </c>
      <c r="I71" s="20" t="str">
        <f t="shared" si="3"/>
        <v/>
      </c>
      <c r="J71" s="94" t="str">
        <f t="shared" si="0"/>
        <v/>
      </c>
      <c r="K71" s="20" t="str">
        <f t="shared" si="4"/>
        <v/>
      </c>
      <c r="L71" s="94" t="str">
        <f t="shared" si="5"/>
        <v/>
      </c>
      <c r="M71" s="84" t="str">
        <f t="shared" si="6"/>
        <v/>
      </c>
      <c r="O71" s="36" t="str">
        <f t="shared" si="7"/>
        <v/>
      </c>
      <c r="P71" s="27" t="str">
        <f t="shared" si="8"/>
        <v/>
      </c>
      <c r="Q71" s="30" t="str">
        <f t="shared" si="9"/>
        <v/>
      </c>
      <c r="R71" s="19"/>
      <c r="S71" s="19" t="str">
        <f t="shared" si="10"/>
        <v/>
      </c>
      <c r="T71" s="19" t="str">
        <f t="shared" si="11"/>
        <v/>
      </c>
      <c r="U71" s="57" t="str">
        <f t="shared" si="12"/>
        <v/>
      </c>
      <c r="V71" s="57" t="str">
        <f t="shared" si="13"/>
        <v/>
      </c>
      <c r="W71" s="63" t="str">
        <f>IF(U71="","",IF(T72="",P$4-SUM(W$14:W70),IF((YEAR(O71)*1000+MONTH(O71))&gt;=P$9,IF((YEAR(O71)*1000+MONTH(O71))=P$9,ROUND(U71,0),ROUND(T71,0)),"")))</f>
        <v/>
      </c>
      <c r="X71" s="59" t="str">
        <f>IF(S$10="","",IF(P71&lt;=S$10,IF(P71=S$10,P$4-SUM(W$14:W70),W71),""))</f>
        <v/>
      </c>
    </row>
    <row r="72" spans="3:24" x14ac:dyDescent="0.45">
      <c r="C72" s="124"/>
      <c r="D72" s="105"/>
      <c r="E72" s="131"/>
      <c r="F72" s="71"/>
      <c r="G72" s="78" t="str">
        <f t="shared" si="1"/>
        <v/>
      </c>
      <c r="H72" s="3">
        <f t="shared" si="2"/>
        <v>0</v>
      </c>
      <c r="I72" s="20" t="str">
        <f t="shared" si="3"/>
        <v/>
      </c>
      <c r="J72" s="94" t="str">
        <f t="shared" si="0"/>
        <v/>
      </c>
      <c r="K72" s="20" t="str">
        <f t="shared" si="4"/>
        <v/>
      </c>
      <c r="L72" s="94" t="str">
        <f t="shared" si="5"/>
        <v/>
      </c>
      <c r="M72" s="84" t="str">
        <f t="shared" si="6"/>
        <v/>
      </c>
      <c r="O72" s="36" t="str">
        <f t="shared" si="7"/>
        <v/>
      </c>
      <c r="P72" s="27" t="str">
        <f t="shared" si="8"/>
        <v/>
      </c>
      <c r="Q72" s="30" t="str">
        <f t="shared" si="9"/>
        <v/>
      </c>
      <c r="R72" s="19"/>
      <c r="S72" s="19" t="str">
        <f t="shared" si="10"/>
        <v/>
      </c>
      <c r="T72" s="19" t="str">
        <f t="shared" si="11"/>
        <v/>
      </c>
      <c r="U72" s="57" t="str">
        <f t="shared" si="12"/>
        <v/>
      </c>
      <c r="V72" s="57" t="str">
        <f t="shared" si="13"/>
        <v/>
      </c>
      <c r="W72" s="63" t="str">
        <f>IF(U72="","",IF(T73="",P$4-SUM(W$14:W71),IF((YEAR(O72)*1000+MONTH(O72))&gt;=P$9,IF((YEAR(O72)*1000+MONTH(O72))=P$9,ROUND(U72,0),ROUND(T72,0)),"")))</f>
        <v/>
      </c>
      <c r="X72" s="59" t="str">
        <f>IF(S$10="","",IF(P72&lt;=S$10,IF(P72=S$10,P$4-SUM(W$14:W71),W72),""))</f>
        <v/>
      </c>
    </row>
    <row r="73" spans="3:24" x14ac:dyDescent="0.45">
      <c r="C73" s="124"/>
      <c r="D73" s="105"/>
      <c r="E73" s="131"/>
      <c r="F73" s="71"/>
      <c r="G73" s="78" t="str">
        <f t="shared" si="1"/>
        <v/>
      </c>
      <c r="H73" s="3">
        <f t="shared" si="2"/>
        <v>0</v>
      </c>
      <c r="I73" s="20" t="str">
        <f t="shared" si="3"/>
        <v/>
      </c>
      <c r="J73" s="94" t="str">
        <f t="shared" si="0"/>
        <v/>
      </c>
      <c r="K73" s="20" t="str">
        <f t="shared" si="4"/>
        <v/>
      </c>
      <c r="L73" s="94" t="str">
        <f t="shared" si="5"/>
        <v/>
      </c>
      <c r="M73" s="84" t="str">
        <f t="shared" si="6"/>
        <v/>
      </c>
      <c r="O73" s="36" t="str">
        <f t="shared" si="7"/>
        <v/>
      </c>
      <c r="P73" s="27" t="str">
        <f t="shared" si="8"/>
        <v/>
      </c>
      <c r="Q73" s="30" t="str">
        <f t="shared" si="9"/>
        <v/>
      </c>
      <c r="R73" s="19"/>
      <c r="S73" s="19" t="str">
        <f t="shared" si="10"/>
        <v/>
      </c>
      <c r="T73" s="19" t="str">
        <f t="shared" si="11"/>
        <v/>
      </c>
      <c r="U73" s="57" t="str">
        <f t="shared" si="12"/>
        <v/>
      </c>
      <c r="V73" s="57" t="str">
        <f t="shared" si="13"/>
        <v/>
      </c>
      <c r="W73" s="63" t="str">
        <f>IF(U73="","",IF(T74="",P$4-SUM(W$14:W72),IF((YEAR(O73)*1000+MONTH(O73))&gt;=P$9,IF((YEAR(O73)*1000+MONTH(O73))=P$9,ROUND(U73,0),ROUND(T73,0)),"")))</f>
        <v/>
      </c>
      <c r="X73" s="59" t="str">
        <f>IF(S$10="","",IF(P73&lt;=S$10,IF(P73=S$10,P$4-SUM(W$14:W72),W73),""))</f>
        <v/>
      </c>
    </row>
    <row r="74" spans="3:24" x14ac:dyDescent="0.45">
      <c r="C74" s="124"/>
      <c r="D74" s="105"/>
      <c r="E74" s="131"/>
      <c r="F74" s="71"/>
      <c r="G74" s="78" t="str">
        <f t="shared" si="1"/>
        <v/>
      </c>
      <c r="H74" s="3">
        <f t="shared" si="2"/>
        <v>0</v>
      </c>
      <c r="I74" s="20" t="str">
        <f t="shared" si="3"/>
        <v/>
      </c>
      <c r="J74" s="94" t="str">
        <f t="shared" si="0"/>
        <v/>
      </c>
      <c r="K74" s="20" t="str">
        <f t="shared" si="4"/>
        <v/>
      </c>
      <c r="L74" s="94" t="str">
        <f t="shared" si="5"/>
        <v/>
      </c>
      <c r="M74" s="84" t="str">
        <f t="shared" si="6"/>
        <v/>
      </c>
      <c r="O74" s="36" t="str">
        <f t="shared" si="7"/>
        <v/>
      </c>
      <c r="P74" s="27" t="str">
        <f t="shared" si="8"/>
        <v/>
      </c>
      <c r="Q74" s="30" t="str">
        <f t="shared" si="9"/>
        <v/>
      </c>
      <c r="R74" s="19"/>
      <c r="S74" s="19" t="str">
        <f t="shared" si="10"/>
        <v/>
      </c>
      <c r="T74" s="19" t="str">
        <f t="shared" si="11"/>
        <v/>
      </c>
      <c r="U74" s="57" t="str">
        <f t="shared" si="12"/>
        <v/>
      </c>
      <c r="V74" s="57" t="str">
        <f t="shared" si="13"/>
        <v/>
      </c>
      <c r="W74" s="63" t="str">
        <f>IF(U74="","",IF(T75="",P$4-SUM(W$14:W73),IF((YEAR(O74)*1000+MONTH(O74))&gt;=P$9,IF((YEAR(O74)*1000+MONTH(O74))=P$9,ROUND(U74,0),ROUND(T74,0)),"")))</f>
        <v/>
      </c>
      <c r="X74" s="59" t="str">
        <f>IF(S$10="","",IF(P74&lt;=S$10,IF(P74=S$10,P$4-SUM(W$14:W73),W74),""))</f>
        <v/>
      </c>
    </row>
    <row r="75" spans="3:24" ht="15" hidden="1" customHeight="1" outlineLevel="1" x14ac:dyDescent="0.45">
      <c r="C75" s="124"/>
      <c r="D75" s="105"/>
      <c r="E75" s="131"/>
      <c r="F75" s="71"/>
      <c r="G75" s="78" t="str">
        <f t="shared" si="1"/>
        <v/>
      </c>
      <c r="H75" s="3">
        <f t="shared" si="2"/>
        <v>0</v>
      </c>
      <c r="I75" s="20" t="str">
        <f t="shared" si="3"/>
        <v/>
      </c>
      <c r="J75" s="94" t="str">
        <f t="shared" si="0"/>
        <v/>
      </c>
      <c r="K75" s="20" t="str">
        <f t="shared" si="4"/>
        <v/>
      </c>
      <c r="L75" s="94" t="str">
        <f t="shared" si="5"/>
        <v/>
      </c>
      <c r="M75" s="84" t="str">
        <f t="shared" si="6"/>
        <v/>
      </c>
      <c r="O75" s="36" t="str">
        <f t="shared" si="7"/>
        <v/>
      </c>
      <c r="P75" s="27" t="str">
        <f t="shared" si="8"/>
        <v/>
      </c>
      <c r="Q75" s="30" t="str">
        <f t="shared" si="9"/>
        <v/>
      </c>
      <c r="R75" s="19"/>
      <c r="S75" s="19" t="str">
        <f t="shared" si="10"/>
        <v/>
      </c>
      <c r="T75" s="19" t="str">
        <f t="shared" si="11"/>
        <v/>
      </c>
      <c r="U75" s="57" t="str">
        <f t="shared" si="12"/>
        <v/>
      </c>
      <c r="V75" s="57" t="str">
        <f t="shared" si="13"/>
        <v/>
      </c>
      <c r="W75" s="63" t="str">
        <f>IF(U75="","",IF(T76="",P$4-SUM(W$14:W74),IF((YEAR(O75)*1000+MONTH(O75))&gt;=P$9,IF((YEAR(O75)*1000+MONTH(O75))=P$9,ROUND(U75,0),ROUND(T75,0)),"")))</f>
        <v/>
      </c>
      <c r="X75" s="59" t="str">
        <f>IF(S$10="","",IF(P75&lt;=S$10,IF(P75=S$10,P$4-SUM(W$14:W74),W75),""))</f>
        <v/>
      </c>
    </row>
    <row r="76" spans="3:24" ht="15" hidden="1" customHeight="1" outlineLevel="1" x14ac:dyDescent="0.45">
      <c r="C76" s="124"/>
      <c r="D76" s="105"/>
      <c r="E76" s="131"/>
      <c r="F76" s="71"/>
      <c r="G76" s="78" t="str">
        <f t="shared" si="1"/>
        <v/>
      </c>
      <c r="H76" s="3">
        <f t="shared" si="2"/>
        <v>0</v>
      </c>
      <c r="I76" s="20" t="str">
        <f t="shared" si="3"/>
        <v/>
      </c>
      <c r="J76" s="94" t="str">
        <f t="shared" si="0"/>
        <v/>
      </c>
      <c r="K76" s="20" t="str">
        <f t="shared" si="4"/>
        <v/>
      </c>
      <c r="L76" s="94" t="str">
        <f t="shared" si="5"/>
        <v/>
      </c>
      <c r="M76" s="84" t="str">
        <f t="shared" si="6"/>
        <v/>
      </c>
      <c r="O76" s="36" t="str">
        <f t="shared" si="7"/>
        <v/>
      </c>
      <c r="P76" s="27" t="str">
        <f t="shared" si="8"/>
        <v/>
      </c>
      <c r="Q76" s="30" t="str">
        <f t="shared" si="9"/>
        <v/>
      </c>
      <c r="R76" s="19"/>
      <c r="S76" s="19" t="str">
        <f t="shared" si="10"/>
        <v/>
      </c>
      <c r="T76" s="19" t="str">
        <f t="shared" si="11"/>
        <v/>
      </c>
      <c r="U76" s="57" t="str">
        <f t="shared" si="12"/>
        <v/>
      </c>
      <c r="V76" s="57" t="str">
        <f t="shared" si="13"/>
        <v/>
      </c>
      <c r="W76" s="63" t="str">
        <f>IF(U76="","",IF(T77="",P$4-SUM(W$14:W75),IF((YEAR(O76)*1000+MONTH(O76))&gt;=P$9,IF((YEAR(O76)*1000+MONTH(O76))=P$9,ROUND(U76,0),ROUND(T76,0)),"")))</f>
        <v/>
      </c>
      <c r="X76" s="59" t="str">
        <f>IF(S$10="","",IF(P76&lt;=S$10,IF(P76=S$10,P$4-SUM(W$14:W75),W76),""))</f>
        <v/>
      </c>
    </row>
    <row r="77" spans="3:24" ht="15" hidden="1" customHeight="1" outlineLevel="1" x14ac:dyDescent="0.45">
      <c r="C77" s="124"/>
      <c r="D77" s="105"/>
      <c r="E77" s="131"/>
      <c r="F77" s="71"/>
      <c r="G77" s="78" t="str">
        <f t="shared" si="1"/>
        <v/>
      </c>
      <c r="H77" s="3">
        <f t="shared" si="2"/>
        <v>0</v>
      </c>
      <c r="I77" s="20" t="str">
        <f t="shared" si="3"/>
        <v/>
      </c>
      <c r="J77" s="94" t="str">
        <f t="shared" si="0"/>
        <v/>
      </c>
      <c r="K77" s="20" t="str">
        <f t="shared" si="4"/>
        <v/>
      </c>
      <c r="L77" s="94" t="str">
        <f t="shared" si="5"/>
        <v/>
      </c>
      <c r="M77" s="84" t="str">
        <f t="shared" si="6"/>
        <v/>
      </c>
      <c r="O77" s="36" t="str">
        <f t="shared" si="7"/>
        <v/>
      </c>
      <c r="P77" s="27" t="str">
        <f t="shared" si="8"/>
        <v/>
      </c>
      <c r="Q77" s="30" t="str">
        <f t="shared" si="9"/>
        <v/>
      </c>
      <c r="R77" s="19"/>
      <c r="S77" s="19" t="str">
        <f t="shared" si="10"/>
        <v/>
      </c>
      <c r="T77" s="19" t="str">
        <f t="shared" si="11"/>
        <v/>
      </c>
      <c r="U77" s="57" t="str">
        <f t="shared" si="12"/>
        <v/>
      </c>
      <c r="V77" s="57" t="str">
        <f t="shared" si="13"/>
        <v/>
      </c>
      <c r="W77" s="63" t="str">
        <f>IF(U77="","",IF(T78="",P$4-SUM(W$14:W76),IF((YEAR(O77)*1000+MONTH(O77))&gt;=P$9,IF((YEAR(O77)*1000+MONTH(O77))=P$9,ROUND(U77,0),ROUND(T77,0)),"")))</f>
        <v/>
      </c>
      <c r="X77" s="59" t="str">
        <f>IF(S$10="","",IF(P77&lt;=S$10,IF(P77=S$10,P$4-SUM(W$14:W76),W77),""))</f>
        <v/>
      </c>
    </row>
    <row r="78" spans="3:24" ht="15" hidden="1" customHeight="1" outlineLevel="1" x14ac:dyDescent="0.45">
      <c r="C78" s="124"/>
      <c r="D78" s="105"/>
      <c r="E78" s="131"/>
      <c r="F78" s="71"/>
      <c r="G78" s="78" t="str">
        <f t="shared" si="1"/>
        <v/>
      </c>
      <c r="H78" s="3">
        <f t="shared" si="2"/>
        <v>0</v>
      </c>
      <c r="I78" s="20" t="str">
        <f t="shared" si="3"/>
        <v/>
      </c>
      <c r="J78" s="94" t="str">
        <f t="shared" si="0"/>
        <v/>
      </c>
      <c r="K78" s="20" t="str">
        <f t="shared" si="4"/>
        <v/>
      </c>
      <c r="L78" s="94" t="str">
        <f t="shared" si="5"/>
        <v/>
      </c>
      <c r="M78" s="84" t="str">
        <f t="shared" si="6"/>
        <v/>
      </c>
      <c r="O78" s="36" t="str">
        <f t="shared" si="7"/>
        <v/>
      </c>
      <c r="P78" s="27" t="str">
        <f t="shared" si="8"/>
        <v/>
      </c>
      <c r="Q78" s="30" t="str">
        <f t="shared" si="9"/>
        <v/>
      </c>
      <c r="R78" s="19"/>
      <c r="S78" s="19" t="str">
        <f t="shared" si="10"/>
        <v/>
      </c>
      <c r="T78" s="19" t="str">
        <f t="shared" si="11"/>
        <v/>
      </c>
      <c r="U78" s="57" t="str">
        <f t="shared" si="12"/>
        <v/>
      </c>
      <c r="V78" s="57" t="str">
        <f t="shared" si="13"/>
        <v/>
      </c>
      <c r="W78" s="63" t="str">
        <f>IF(U78="","",IF(T79="",P$4-SUM(W$14:W77),IF((YEAR(O78)*1000+MONTH(O78))&gt;=P$9,IF((YEAR(O78)*1000+MONTH(O78))=P$9,ROUND(U78,0),ROUND(T78,0)),"")))</f>
        <v/>
      </c>
      <c r="X78" s="59" t="str">
        <f>IF(S$10="","",IF(P78&lt;=S$10,IF(P78=S$10,P$4-SUM(W$14:W77),W78),""))</f>
        <v/>
      </c>
    </row>
    <row r="79" spans="3:24" ht="15" hidden="1" customHeight="1" outlineLevel="1" x14ac:dyDescent="0.45">
      <c r="C79" s="124"/>
      <c r="D79" s="105"/>
      <c r="E79" s="131"/>
      <c r="F79" s="71"/>
      <c r="G79" s="78" t="str">
        <f t="shared" si="1"/>
        <v/>
      </c>
      <c r="H79" s="3">
        <f t="shared" si="2"/>
        <v>0</v>
      </c>
      <c r="I79" s="20" t="str">
        <f t="shared" si="3"/>
        <v/>
      </c>
      <c r="J79" s="94" t="str">
        <f t="shared" si="0"/>
        <v/>
      </c>
      <c r="K79" s="20" t="str">
        <f t="shared" si="4"/>
        <v/>
      </c>
      <c r="L79" s="94" t="str">
        <f t="shared" si="5"/>
        <v/>
      </c>
      <c r="M79" s="84" t="str">
        <f t="shared" si="6"/>
        <v/>
      </c>
      <c r="O79" s="36" t="str">
        <f t="shared" si="7"/>
        <v/>
      </c>
      <c r="P79" s="27" t="str">
        <f t="shared" si="8"/>
        <v/>
      </c>
      <c r="Q79" s="30" t="str">
        <f t="shared" si="9"/>
        <v/>
      </c>
      <c r="R79" s="19"/>
      <c r="S79" s="19" t="str">
        <f t="shared" si="10"/>
        <v/>
      </c>
      <c r="T79" s="19" t="str">
        <f t="shared" si="11"/>
        <v/>
      </c>
      <c r="U79" s="57" t="str">
        <f t="shared" si="12"/>
        <v/>
      </c>
      <c r="V79" s="57" t="str">
        <f t="shared" si="13"/>
        <v/>
      </c>
      <c r="W79" s="63" t="str">
        <f>IF(U79="","",IF(T80="",P$4-SUM(W$14:W78),IF((YEAR(O79)*1000+MONTH(O79))&gt;=P$9,IF((YEAR(O79)*1000+MONTH(O79))=P$9,ROUND(U79,0),ROUND(T79,0)),"")))</f>
        <v/>
      </c>
      <c r="X79" s="59" t="str">
        <f>IF(S$10="","",IF(P79&lt;=S$10,IF(P79=S$10,P$4-SUM(W$14:W78),W79),""))</f>
        <v/>
      </c>
    </row>
    <row r="80" spans="3:24" ht="15" hidden="1" customHeight="1" outlineLevel="1" x14ac:dyDescent="0.45">
      <c r="C80" s="124"/>
      <c r="D80" s="105"/>
      <c r="E80" s="131"/>
      <c r="F80" s="71"/>
      <c r="G80" s="78" t="str">
        <f t="shared" si="1"/>
        <v/>
      </c>
      <c r="H80" s="3">
        <f t="shared" si="2"/>
        <v>0</v>
      </c>
      <c r="I80" s="20" t="str">
        <f t="shared" si="3"/>
        <v/>
      </c>
      <c r="J80" s="94" t="str">
        <f t="shared" ref="J80:J143" si="14">IF(F80="","",-F80)</f>
        <v/>
      </c>
      <c r="K80" s="20" t="str">
        <f t="shared" si="4"/>
        <v/>
      </c>
      <c r="L80" s="94" t="str">
        <f t="shared" si="5"/>
        <v/>
      </c>
      <c r="M80" s="84" t="str">
        <f t="shared" si="6"/>
        <v/>
      </c>
      <c r="O80" s="36" t="str">
        <f t="shared" si="7"/>
        <v/>
      </c>
      <c r="P80" s="27" t="str">
        <f t="shared" si="8"/>
        <v/>
      </c>
      <c r="Q80" s="30" t="str">
        <f t="shared" si="9"/>
        <v/>
      </c>
      <c r="R80" s="19"/>
      <c r="S80" s="19" t="str">
        <f t="shared" si="10"/>
        <v/>
      </c>
      <c r="T80" s="19" t="str">
        <f t="shared" si="11"/>
        <v/>
      </c>
      <c r="U80" s="57" t="str">
        <f t="shared" si="12"/>
        <v/>
      </c>
      <c r="V80" s="57" t="str">
        <f t="shared" si="13"/>
        <v/>
      </c>
      <c r="W80" s="63" t="str">
        <f>IF(U80="","",IF(T81="",P$4-SUM(W$14:W79),IF((YEAR(O80)*1000+MONTH(O80))&gt;=P$9,IF((YEAR(O80)*1000+MONTH(O80))=P$9,ROUND(U80,0),ROUND(T80,0)),"")))</f>
        <v/>
      </c>
      <c r="X80" s="59" t="str">
        <f>IF(S$10="","",IF(P80&lt;=S$10,IF(P80=S$10,P$4-SUM(W$14:W79),W80),""))</f>
        <v/>
      </c>
    </row>
    <row r="81" spans="3:24" ht="15" hidden="1" customHeight="1" outlineLevel="1" x14ac:dyDescent="0.45">
      <c r="C81" s="124"/>
      <c r="D81" s="105"/>
      <c r="E81" s="131"/>
      <c r="F81" s="71"/>
      <c r="G81" s="78" t="str">
        <f t="shared" ref="G81:G144" si="15">IF(D81&lt;0,-D81-F81,IF(F81="","",-F81))</f>
        <v/>
      </c>
      <c r="H81" s="3">
        <f t="shared" ref="H81:H144" si="16">IF(D81&gt;0,D81,0)</f>
        <v>0</v>
      </c>
      <c r="I81" s="20" t="str">
        <f t="shared" ref="I81:I144" si="17">IF(D81="","",-D81)</f>
        <v/>
      </c>
      <c r="J81" s="94" t="str">
        <f t="shared" si="14"/>
        <v/>
      </c>
      <c r="K81" s="20" t="str">
        <f t="shared" ref="K81:K144" si="18">IF(AND(I81&gt;0,I81&lt;&gt;""),-I81-J81,IF(J81="","",-J81))</f>
        <v/>
      </c>
      <c r="L81" s="94" t="str">
        <f t="shared" ref="L81:L144" si="19">IF(C81="","",+C81)</f>
        <v/>
      </c>
      <c r="M81" s="84" t="str">
        <f t="shared" ref="M81:M144" si="20">IF(L81="","",-L81)</f>
        <v/>
      </c>
      <c r="O81" s="36" t="str">
        <f t="shared" ref="O81:O144" si="21">IF(O80="","",IF(EOMONTH(O80,0)+1&gt;P$8,"",EOMONTH(O80,0)+1))</f>
        <v/>
      </c>
      <c r="P81" s="27" t="str">
        <f t="shared" ref="P81:P144" si="22">IF(O81="","",IF(O81&lt;=P$8,IF((YEAR(O81)*1000+MONTH(O81))&lt;P$9,P$9,(YEAR(O81)*1000+MONTH(O81))),""))</f>
        <v/>
      </c>
      <c r="Q81" s="30" t="str">
        <f t="shared" ref="Q81:Q144" si="23">IF(P81&lt;&gt;"",IF(EOMONTH(O81,0)&lt;&gt;EOMONTH(P$8,0),DAY(EOMONTH(O81,0)-DAY(O81)+1)/DAY(EOMONTH(O81,0)),IF(DAY(EOMONTH(P$7,0))-DAY(P$7)+1+DAY(P$8)=DAY(EOMONTH(P$7,0)),1-Q$15,DAY(P$8)/DAY(EOMONTH(P$8,0)))),"")</f>
        <v/>
      </c>
      <c r="R81" s="19"/>
      <c r="S81" s="19" t="str">
        <f t="shared" ref="S81:S144" si="24">IF(O81="","",IF(P81&lt;=S$10,IF(P81=S$10,R$15,-R81),""))</f>
        <v/>
      </c>
      <c r="T81" s="19" t="str">
        <f t="shared" ref="T81:T144" si="25">IF(P81="","",IF(ISERROR(S$11*Q81),0,(S$11)*Q81))</f>
        <v/>
      </c>
      <c r="U81" s="57" t="str">
        <f t="shared" ref="U81:U144" si="26">IF(Q81="","",IF(Q81&gt;0,T81+U80,-U80))</f>
        <v/>
      </c>
      <c r="V81" s="57" t="str">
        <f t="shared" ref="V81:V144" si="27">IF(S81="","",IF(P81&lt;S$10,T81+U80,-V80))</f>
        <v/>
      </c>
      <c r="W81" s="63" t="str">
        <f>IF(U81="","",IF(T82="",P$4-SUM(W$14:W80),IF((YEAR(O81)*1000+MONTH(O81))&gt;=P$9,IF((YEAR(O81)*1000+MONTH(O81))=P$9,ROUND(U81,0),ROUND(T81,0)),"")))</f>
        <v/>
      </c>
      <c r="X81" s="59" t="str">
        <f>IF(S$10="","",IF(P81&lt;=S$10,IF(P81=S$10,P$4-SUM(W$14:W80),W81),""))</f>
        <v/>
      </c>
    </row>
    <row r="82" spans="3:24" ht="15" hidden="1" customHeight="1" outlineLevel="1" x14ac:dyDescent="0.45">
      <c r="C82" s="124"/>
      <c r="D82" s="105"/>
      <c r="E82" s="131"/>
      <c r="F82" s="71"/>
      <c r="G82" s="78" t="str">
        <f t="shared" si="15"/>
        <v/>
      </c>
      <c r="H82" s="3">
        <f t="shared" si="16"/>
        <v>0</v>
      </c>
      <c r="I82" s="20" t="str">
        <f t="shared" si="17"/>
        <v/>
      </c>
      <c r="J82" s="94" t="str">
        <f t="shared" si="14"/>
        <v/>
      </c>
      <c r="K82" s="20" t="str">
        <f t="shared" si="18"/>
        <v/>
      </c>
      <c r="L82" s="94" t="str">
        <f t="shared" si="19"/>
        <v/>
      </c>
      <c r="M82" s="84" t="str">
        <f t="shared" si="20"/>
        <v/>
      </c>
      <c r="O82" s="36" t="str">
        <f t="shared" si="21"/>
        <v/>
      </c>
      <c r="P82" s="27" t="str">
        <f t="shared" si="22"/>
        <v/>
      </c>
      <c r="Q82" s="30" t="str">
        <f t="shared" si="23"/>
        <v/>
      </c>
      <c r="R82" s="19"/>
      <c r="S82" s="19" t="str">
        <f t="shared" si="24"/>
        <v/>
      </c>
      <c r="T82" s="19" t="str">
        <f t="shared" si="25"/>
        <v/>
      </c>
      <c r="U82" s="57" t="str">
        <f t="shared" si="26"/>
        <v/>
      </c>
      <c r="V82" s="57" t="str">
        <f t="shared" si="27"/>
        <v/>
      </c>
      <c r="W82" s="63" t="str">
        <f>IF(U82="","",IF(T83="",P$4-SUM(W$14:W81),IF((YEAR(O82)*1000+MONTH(O82))&gt;=P$9,IF((YEAR(O82)*1000+MONTH(O82))=P$9,ROUND(U82,0),ROUND(T82,0)),"")))</f>
        <v/>
      </c>
      <c r="X82" s="59" t="str">
        <f>IF(S$10="","",IF(P82&lt;=S$10,IF(P82=S$10,P$4-SUM(W$14:W81),W82),""))</f>
        <v/>
      </c>
    </row>
    <row r="83" spans="3:24" ht="15" hidden="1" customHeight="1" outlineLevel="1" x14ac:dyDescent="0.45">
      <c r="C83" s="124"/>
      <c r="D83" s="105"/>
      <c r="E83" s="131"/>
      <c r="F83" s="71"/>
      <c r="G83" s="78" t="str">
        <f t="shared" si="15"/>
        <v/>
      </c>
      <c r="H83" s="3">
        <f t="shared" si="16"/>
        <v>0</v>
      </c>
      <c r="I83" s="20" t="str">
        <f t="shared" si="17"/>
        <v/>
      </c>
      <c r="J83" s="94" t="str">
        <f t="shared" si="14"/>
        <v/>
      </c>
      <c r="K83" s="20" t="str">
        <f t="shared" si="18"/>
        <v/>
      </c>
      <c r="L83" s="94" t="str">
        <f t="shared" si="19"/>
        <v/>
      </c>
      <c r="M83" s="84" t="str">
        <f t="shared" si="20"/>
        <v/>
      </c>
      <c r="O83" s="36" t="str">
        <f t="shared" si="21"/>
        <v/>
      </c>
      <c r="P83" s="27" t="str">
        <f t="shared" si="22"/>
        <v/>
      </c>
      <c r="Q83" s="30" t="str">
        <f t="shared" si="23"/>
        <v/>
      </c>
      <c r="R83" s="19"/>
      <c r="S83" s="19" t="str">
        <f t="shared" si="24"/>
        <v/>
      </c>
      <c r="T83" s="19" t="str">
        <f t="shared" si="25"/>
        <v/>
      </c>
      <c r="U83" s="57" t="str">
        <f t="shared" si="26"/>
        <v/>
      </c>
      <c r="V83" s="57" t="str">
        <f t="shared" si="27"/>
        <v/>
      </c>
      <c r="W83" s="63" t="str">
        <f>IF(U83="","",IF(T84="",P$4-SUM(W$14:W82),IF((YEAR(O83)*1000+MONTH(O83))&gt;=P$9,IF((YEAR(O83)*1000+MONTH(O83))=P$9,ROUND(U83,0),ROUND(T83,0)),"")))</f>
        <v/>
      </c>
      <c r="X83" s="59" t="str">
        <f>IF(S$10="","",IF(P83&lt;=S$10,IF(P83=S$10,P$4-SUM(W$14:W82),W83),""))</f>
        <v/>
      </c>
    </row>
    <row r="84" spans="3:24" ht="15" hidden="1" customHeight="1" outlineLevel="1" x14ac:dyDescent="0.45">
      <c r="C84" s="124"/>
      <c r="D84" s="105"/>
      <c r="E84" s="131"/>
      <c r="F84" s="71"/>
      <c r="G84" s="78" t="str">
        <f t="shared" si="15"/>
        <v/>
      </c>
      <c r="H84" s="3">
        <f t="shared" si="16"/>
        <v>0</v>
      </c>
      <c r="I84" s="20" t="str">
        <f t="shared" si="17"/>
        <v/>
      </c>
      <c r="J84" s="94" t="str">
        <f t="shared" si="14"/>
        <v/>
      </c>
      <c r="K84" s="20" t="str">
        <f t="shared" si="18"/>
        <v/>
      </c>
      <c r="L84" s="94" t="str">
        <f t="shared" si="19"/>
        <v/>
      </c>
      <c r="M84" s="84" t="str">
        <f t="shared" si="20"/>
        <v/>
      </c>
      <c r="O84" s="36" t="str">
        <f t="shared" si="21"/>
        <v/>
      </c>
      <c r="P84" s="27" t="str">
        <f t="shared" si="22"/>
        <v/>
      </c>
      <c r="Q84" s="30" t="str">
        <f t="shared" si="23"/>
        <v/>
      </c>
      <c r="R84" s="19"/>
      <c r="S84" s="19" t="str">
        <f t="shared" si="24"/>
        <v/>
      </c>
      <c r="T84" s="19" t="str">
        <f t="shared" si="25"/>
        <v/>
      </c>
      <c r="U84" s="57" t="str">
        <f t="shared" si="26"/>
        <v/>
      </c>
      <c r="V84" s="57" t="str">
        <f t="shared" si="27"/>
        <v/>
      </c>
      <c r="W84" s="63" t="str">
        <f>IF(U84="","",IF(T85="",P$4-SUM(W$14:W83),IF((YEAR(O84)*1000+MONTH(O84))&gt;=P$9,IF((YEAR(O84)*1000+MONTH(O84))=P$9,ROUND(U84,0),ROUND(T84,0)),"")))</f>
        <v/>
      </c>
      <c r="X84" s="59" t="str">
        <f>IF(S$10="","",IF(P84&lt;=S$10,IF(P84=S$10,P$4-SUM(W$14:W83),W84),""))</f>
        <v/>
      </c>
    </row>
    <row r="85" spans="3:24" ht="15" hidden="1" customHeight="1" outlineLevel="1" x14ac:dyDescent="0.45">
      <c r="C85" s="124"/>
      <c r="D85" s="105"/>
      <c r="E85" s="131"/>
      <c r="F85" s="71"/>
      <c r="G85" s="78" t="str">
        <f t="shared" si="15"/>
        <v/>
      </c>
      <c r="H85" s="3">
        <f t="shared" si="16"/>
        <v>0</v>
      </c>
      <c r="I85" s="20" t="str">
        <f t="shared" si="17"/>
        <v/>
      </c>
      <c r="J85" s="94" t="str">
        <f t="shared" si="14"/>
        <v/>
      </c>
      <c r="K85" s="20" t="str">
        <f t="shared" si="18"/>
        <v/>
      </c>
      <c r="L85" s="94" t="str">
        <f t="shared" si="19"/>
        <v/>
      </c>
      <c r="M85" s="84" t="str">
        <f t="shared" si="20"/>
        <v/>
      </c>
      <c r="O85" s="36" t="str">
        <f t="shared" si="21"/>
        <v/>
      </c>
      <c r="P85" s="27" t="str">
        <f t="shared" si="22"/>
        <v/>
      </c>
      <c r="Q85" s="30" t="str">
        <f t="shared" si="23"/>
        <v/>
      </c>
      <c r="R85" s="19"/>
      <c r="S85" s="19" t="str">
        <f t="shared" si="24"/>
        <v/>
      </c>
      <c r="T85" s="19" t="str">
        <f t="shared" si="25"/>
        <v/>
      </c>
      <c r="U85" s="57" t="str">
        <f t="shared" si="26"/>
        <v/>
      </c>
      <c r="V85" s="57" t="str">
        <f t="shared" si="27"/>
        <v/>
      </c>
      <c r="W85" s="63" t="str">
        <f>IF(U85="","",IF(T86="",P$4-SUM(W$14:W84),IF((YEAR(O85)*1000+MONTH(O85))&gt;=P$9,IF((YEAR(O85)*1000+MONTH(O85))=P$9,ROUND(U85,0),ROUND(T85,0)),"")))</f>
        <v/>
      </c>
      <c r="X85" s="59" t="str">
        <f>IF(S$10="","",IF(P85&lt;=S$10,IF(P85=S$10,P$4-SUM(W$14:W84),W85),""))</f>
        <v/>
      </c>
    </row>
    <row r="86" spans="3:24" ht="15" hidden="1" customHeight="1" outlineLevel="1" x14ac:dyDescent="0.45">
      <c r="C86" s="124"/>
      <c r="D86" s="105"/>
      <c r="E86" s="131"/>
      <c r="F86" s="71"/>
      <c r="G86" s="78" t="str">
        <f t="shared" si="15"/>
        <v/>
      </c>
      <c r="H86" s="3">
        <f t="shared" si="16"/>
        <v>0</v>
      </c>
      <c r="I86" s="20" t="str">
        <f t="shared" si="17"/>
        <v/>
      </c>
      <c r="J86" s="94" t="str">
        <f t="shared" si="14"/>
        <v/>
      </c>
      <c r="K86" s="20" t="str">
        <f t="shared" si="18"/>
        <v/>
      </c>
      <c r="L86" s="94" t="str">
        <f t="shared" si="19"/>
        <v/>
      </c>
      <c r="M86" s="84" t="str">
        <f t="shared" si="20"/>
        <v/>
      </c>
      <c r="O86" s="36" t="str">
        <f t="shared" si="21"/>
        <v/>
      </c>
      <c r="P86" s="27" t="str">
        <f t="shared" si="22"/>
        <v/>
      </c>
      <c r="Q86" s="30" t="str">
        <f t="shared" si="23"/>
        <v/>
      </c>
      <c r="R86" s="19"/>
      <c r="S86" s="19" t="str">
        <f t="shared" si="24"/>
        <v/>
      </c>
      <c r="T86" s="19" t="str">
        <f t="shared" si="25"/>
        <v/>
      </c>
      <c r="U86" s="57" t="str">
        <f t="shared" si="26"/>
        <v/>
      </c>
      <c r="V86" s="57" t="str">
        <f t="shared" si="27"/>
        <v/>
      </c>
      <c r="W86" s="63" t="str">
        <f>IF(U86="","",IF(T87="",P$4-SUM(W$14:W85),IF((YEAR(O86)*1000+MONTH(O86))&gt;=P$9,IF((YEAR(O86)*1000+MONTH(O86))=P$9,ROUND(U86,0),ROUND(T86,0)),"")))</f>
        <v/>
      </c>
      <c r="X86" s="59" t="str">
        <f>IF(S$10="","",IF(P86&lt;=S$10,IF(P86=S$10,P$4-SUM(W$14:W85),W86),""))</f>
        <v/>
      </c>
    </row>
    <row r="87" spans="3:24" ht="15" hidden="1" customHeight="1" outlineLevel="1" x14ac:dyDescent="0.45">
      <c r="C87" s="124"/>
      <c r="D87" s="105"/>
      <c r="E87" s="131"/>
      <c r="F87" s="71"/>
      <c r="G87" s="78" t="str">
        <f t="shared" si="15"/>
        <v/>
      </c>
      <c r="H87" s="3">
        <f t="shared" si="16"/>
        <v>0</v>
      </c>
      <c r="I87" s="20" t="str">
        <f t="shared" si="17"/>
        <v/>
      </c>
      <c r="J87" s="94" t="str">
        <f t="shared" si="14"/>
        <v/>
      </c>
      <c r="K87" s="20" t="str">
        <f t="shared" si="18"/>
        <v/>
      </c>
      <c r="L87" s="94" t="str">
        <f t="shared" si="19"/>
        <v/>
      </c>
      <c r="M87" s="84" t="str">
        <f t="shared" si="20"/>
        <v/>
      </c>
      <c r="O87" s="36" t="str">
        <f t="shared" si="21"/>
        <v/>
      </c>
      <c r="P87" s="27" t="str">
        <f t="shared" si="22"/>
        <v/>
      </c>
      <c r="Q87" s="30" t="str">
        <f t="shared" si="23"/>
        <v/>
      </c>
      <c r="R87" s="19"/>
      <c r="S87" s="19" t="str">
        <f t="shared" si="24"/>
        <v/>
      </c>
      <c r="T87" s="19" t="str">
        <f t="shared" si="25"/>
        <v/>
      </c>
      <c r="U87" s="57" t="str">
        <f t="shared" si="26"/>
        <v/>
      </c>
      <c r="V87" s="57" t="str">
        <f t="shared" si="27"/>
        <v/>
      </c>
      <c r="W87" s="63" t="str">
        <f>IF(U87="","",IF(T88="",P$4-SUM(W$14:W86),IF((YEAR(O87)*1000+MONTH(O87))&gt;=P$9,IF((YEAR(O87)*1000+MONTH(O87))=P$9,ROUND(U87,0),ROUND(T87,0)),"")))</f>
        <v/>
      </c>
      <c r="X87" s="59" t="str">
        <f>IF(S$10="","",IF(P87&lt;=S$10,IF(P87=S$10,P$4-SUM(W$14:W86),W87),""))</f>
        <v/>
      </c>
    </row>
    <row r="88" spans="3:24" ht="15" hidden="1" customHeight="1" outlineLevel="1" x14ac:dyDescent="0.45">
      <c r="C88" s="124"/>
      <c r="D88" s="105"/>
      <c r="E88" s="131"/>
      <c r="F88" s="71"/>
      <c r="G88" s="78" t="str">
        <f t="shared" si="15"/>
        <v/>
      </c>
      <c r="H88" s="3">
        <f t="shared" si="16"/>
        <v>0</v>
      </c>
      <c r="I88" s="20" t="str">
        <f t="shared" si="17"/>
        <v/>
      </c>
      <c r="J88" s="94" t="str">
        <f t="shared" si="14"/>
        <v/>
      </c>
      <c r="K88" s="20" t="str">
        <f t="shared" si="18"/>
        <v/>
      </c>
      <c r="L88" s="94" t="str">
        <f t="shared" si="19"/>
        <v/>
      </c>
      <c r="M88" s="84" t="str">
        <f t="shared" si="20"/>
        <v/>
      </c>
      <c r="O88" s="36" t="str">
        <f t="shared" si="21"/>
        <v/>
      </c>
      <c r="P88" s="27" t="str">
        <f t="shared" si="22"/>
        <v/>
      </c>
      <c r="Q88" s="30" t="str">
        <f t="shared" si="23"/>
        <v/>
      </c>
      <c r="R88" s="19"/>
      <c r="S88" s="19" t="str">
        <f t="shared" si="24"/>
        <v/>
      </c>
      <c r="T88" s="19" t="str">
        <f t="shared" si="25"/>
        <v/>
      </c>
      <c r="U88" s="57" t="str">
        <f t="shared" si="26"/>
        <v/>
      </c>
      <c r="V88" s="57" t="str">
        <f t="shared" si="27"/>
        <v/>
      </c>
      <c r="W88" s="63" t="str">
        <f>IF(U88="","",IF(T89="",P$4-SUM(W$14:W87),IF((YEAR(O88)*1000+MONTH(O88))&gt;=P$9,IF((YEAR(O88)*1000+MONTH(O88))=P$9,ROUND(U88,0),ROUND(T88,0)),"")))</f>
        <v/>
      </c>
      <c r="X88" s="59" t="str">
        <f>IF(S$10="","",IF(P88&lt;=S$10,IF(P88=S$10,P$4-SUM(W$14:W87),W88),""))</f>
        <v/>
      </c>
    </row>
    <row r="89" spans="3:24" ht="15" hidden="1" customHeight="1" outlineLevel="1" x14ac:dyDescent="0.45">
      <c r="C89" s="124"/>
      <c r="D89" s="105"/>
      <c r="E89" s="131"/>
      <c r="F89" s="71"/>
      <c r="G89" s="78" t="str">
        <f t="shared" si="15"/>
        <v/>
      </c>
      <c r="H89" s="3">
        <f t="shared" si="16"/>
        <v>0</v>
      </c>
      <c r="I89" s="20" t="str">
        <f t="shared" si="17"/>
        <v/>
      </c>
      <c r="J89" s="94" t="str">
        <f t="shared" si="14"/>
        <v/>
      </c>
      <c r="K89" s="20" t="str">
        <f t="shared" si="18"/>
        <v/>
      </c>
      <c r="L89" s="94" t="str">
        <f t="shared" si="19"/>
        <v/>
      </c>
      <c r="M89" s="84" t="str">
        <f t="shared" si="20"/>
        <v/>
      </c>
      <c r="O89" s="36" t="str">
        <f t="shared" si="21"/>
        <v/>
      </c>
      <c r="P89" s="27" t="str">
        <f t="shared" si="22"/>
        <v/>
      </c>
      <c r="Q89" s="30" t="str">
        <f t="shared" si="23"/>
        <v/>
      </c>
      <c r="R89" s="19"/>
      <c r="S89" s="19" t="str">
        <f t="shared" si="24"/>
        <v/>
      </c>
      <c r="T89" s="19" t="str">
        <f t="shared" si="25"/>
        <v/>
      </c>
      <c r="U89" s="57" t="str">
        <f t="shared" si="26"/>
        <v/>
      </c>
      <c r="V89" s="57" t="str">
        <f t="shared" si="27"/>
        <v/>
      </c>
      <c r="W89" s="63" t="str">
        <f>IF(U89="","",IF(T90="",P$4-SUM(W$14:W88),IF((YEAR(O89)*1000+MONTH(O89))&gt;=P$9,IF((YEAR(O89)*1000+MONTH(O89))=P$9,ROUND(U89,0),ROUND(T89,0)),"")))</f>
        <v/>
      </c>
      <c r="X89" s="59" t="str">
        <f>IF(S$10="","",IF(P89&lt;=S$10,IF(P89=S$10,P$4-SUM(W$14:W88),W89),""))</f>
        <v/>
      </c>
    </row>
    <row r="90" spans="3:24" ht="15" hidden="1" customHeight="1" outlineLevel="1" x14ac:dyDescent="0.45">
      <c r="C90" s="124"/>
      <c r="D90" s="105"/>
      <c r="E90" s="131"/>
      <c r="F90" s="71"/>
      <c r="G90" s="78" t="str">
        <f t="shared" si="15"/>
        <v/>
      </c>
      <c r="H90" s="3">
        <f t="shared" si="16"/>
        <v>0</v>
      </c>
      <c r="I90" s="20" t="str">
        <f t="shared" si="17"/>
        <v/>
      </c>
      <c r="J90" s="94" t="str">
        <f t="shared" si="14"/>
        <v/>
      </c>
      <c r="K90" s="20" t="str">
        <f t="shared" si="18"/>
        <v/>
      </c>
      <c r="L90" s="94" t="str">
        <f t="shared" si="19"/>
        <v/>
      </c>
      <c r="M90" s="84" t="str">
        <f t="shared" si="20"/>
        <v/>
      </c>
      <c r="O90" s="36" t="str">
        <f t="shared" si="21"/>
        <v/>
      </c>
      <c r="P90" s="27" t="str">
        <f t="shared" si="22"/>
        <v/>
      </c>
      <c r="Q90" s="30" t="str">
        <f t="shared" si="23"/>
        <v/>
      </c>
      <c r="R90" s="19"/>
      <c r="S90" s="19" t="str">
        <f t="shared" si="24"/>
        <v/>
      </c>
      <c r="T90" s="19" t="str">
        <f t="shared" si="25"/>
        <v/>
      </c>
      <c r="U90" s="57" t="str">
        <f t="shared" si="26"/>
        <v/>
      </c>
      <c r="V90" s="57" t="str">
        <f t="shared" si="27"/>
        <v/>
      </c>
      <c r="W90" s="63" t="str">
        <f>IF(U90="","",IF(T91="",P$4-SUM(W$14:W89),IF((YEAR(O90)*1000+MONTH(O90))&gt;=P$9,IF((YEAR(O90)*1000+MONTH(O90))=P$9,ROUND(U90,0),ROUND(T90,0)),"")))</f>
        <v/>
      </c>
      <c r="X90" s="59" t="str">
        <f>IF(S$10="","",IF(P90&lt;=S$10,IF(P90=S$10,P$4-SUM(W$14:W89),W90),""))</f>
        <v/>
      </c>
    </row>
    <row r="91" spans="3:24" ht="15" hidden="1" customHeight="1" outlineLevel="1" x14ac:dyDescent="0.45">
      <c r="C91" s="124"/>
      <c r="D91" s="105"/>
      <c r="E91" s="131"/>
      <c r="F91" s="71"/>
      <c r="G91" s="78" t="str">
        <f t="shared" si="15"/>
        <v/>
      </c>
      <c r="H91" s="3">
        <f t="shared" si="16"/>
        <v>0</v>
      </c>
      <c r="I91" s="20" t="str">
        <f t="shared" si="17"/>
        <v/>
      </c>
      <c r="J91" s="94" t="str">
        <f t="shared" si="14"/>
        <v/>
      </c>
      <c r="K91" s="20" t="str">
        <f t="shared" si="18"/>
        <v/>
      </c>
      <c r="L91" s="94" t="str">
        <f t="shared" si="19"/>
        <v/>
      </c>
      <c r="M91" s="84" t="str">
        <f t="shared" si="20"/>
        <v/>
      </c>
      <c r="O91" s="36" t="str">
        <f t="shared" si="21"/>
        <v/>
      </c>
      <c r="P91" s="27" t="str">
        <f t="shared" si="22"/>
        <v/>
      </c>
      <c r="Q91" s="30" t="str">
        <f t="shared" si="23"/>
        <v/>
      </c>
      <c r="R91" s="19"/>
      <c r="S91" s="19" t="str">
        <f t="shared" si="24"/>
        <v/>
      </c>
      <c r="T91" s="19" t="str">
        <f t="shared" si="25"/>
        <v/>
      </c>
      <c r="U91" s="57" t="str">
        <f t="shared" si="26"/>
        <v/>
      </c>
      <c r="V91" s="57" t="str">
        <f t="shared" si="27"/>
        <v/>
      </c>
      <c r="W91" s="63" t="str">
        <f>IF(U91="","",IF(T92="",P$4-SUM(W$14:W90),IF((YEAR(O91)*1000+MONTH(O91))&gt;=P$9,IF((YEAR(O91)*1000+MONTH(O91))=P$9,ROUND(U91,0),ROUND(T91,0)),"")))</f>
        <v/>
      </c>
      <c r="X91" s="59" t="str">
        <f>IF(S$10="","",IF(P91&lt;=S$10,IF(P91=S$10,P$4-SUM(W$14:W90),W91),""))</f>
        <v/>
      </c>
    </row>
    <row r="92" spans="3:24" ht="15" hidden="1" customHeight="1" outlineLevel="1" x14ac:dyDescent="0.45">
      <c r="C92" s="124"/>
      <c r="D92" s="105"/>
      <c r="E92" s="131"/>
      <c r="F92" s="71"/>
      <c r="G92" s="78" t="str">
        <f t="shared" si="15"/>
        <v/>
      </c>
      <c r="H92" s="3">
        <f t="shared" si="16"/>
        <v>0</v>
      </c>
      <c r="I92" s="20" t="str">
        <f t="shared" si="17"/>
        <v/>
      </c>
      <c r="J92" s="94" t="str">
        <f t="shared" si="14"/>
        <v/>
      </c>
      <c r="K92" s="20" t="str">
        <f t="shared" si="18"/>
        <v/>
      </c>
      <c r="L92" s="94" t="str">
        <f t="shared" si="19"/>
        <v/>
      </c>
      <c r="M92" s="84" t="str">
        <f t="shared" si="20"/>
        <v/>
      </c>
      <c r="O92" s="36" t="str">
        <f t="shared" si="21"/>
        <v/>
      </c>
      <c r="P92" s="27" t="str">
        <f t="shared" si="22"/>
        <v/>
      </c>
      <c r="Q92" s="30" t="str">
        <f t="shared" si="23"/>
        <v/>
      </c>
      <c r="R92" s="19"/>
      <c r="S92" s="19" t="str">
        <f t="shared" si="24"/>
        <v/>
      </c>
      <c r="T92" s="19" t="str">
        <f t="shared" si="25"/>
        <v/>
      </c>
      <c r="U92" s="57" t="str">
        <f t="shared" si="26"/>
        <v/>
      </c>
      <c r="V92" s="57" t="str">
        <f t="shared" si="27"/>
        <v/>
      </c>
      <c r="W92" s="63" t="str">
        <f>IF(U92="","",IF(T93="",P$4-SUM(W$14:W91),IF((YEAR(O92)*1000+MONTH(O92))&gt;=P$9,IF((YEAR(O92)*1000+MONTH(O92))=P$9,ROUND(U92,0),ROUND(T92,0)),"")))</f>
        <v/>
      </c>
      <c r="X92" s="59" t="str">
        <f>IF(S$10="","",IF(P92&lt;=S$10,IF(P92=S$10,P$4-SUM(W$14:W91),W92),""))</f>
        <v/>
      </c>
    </row>
    <row r="93" spans="3:24" ht="15" hidden="1" customHeight="1" outlineLevel="1" x14ac:dyDescent="0.45">
      <c r="C93" s="124"/>
      <c r="D93" s="105"/>
      <c r="E93" s="131"/>
      <c r="F93" s="71"/>
      <c r="G93" s="78" t="str">
        <f t="shared" si="15"/>
        <v/>
      </c>
      <c r="H93" s="3">
        <f t="shared" si="16"/>
        <v>0</v>
      </c>
      <c r="I93" s="20" t="str">
        <f t="shared" si="17"/>
        <v/>
      </c>
      <c r="J93" s="94" t="str">
        <f t="shared" si="14"/>
        <v/>
      </c>
      <c r="K93" s="20" t="str">
        <f t="shared" si="18"/>
        <v/>
      </c>
      <c r="L93" s="94" t="str">
        <f t="shared" si="19"/>
        <v/>
      </c>
      <c r="M93" s="84" t="str">
        <f t="shared" si="20"/>
        <v/>
      </c>
      <c r="O93" s="36" t="str">
        <f t="shared" si="21"/>
        <v/>
      </c>
      <c r="P93" s="27" t="str">
        <f t="shared" si="22"/>
        <v/>
      </c>
      <c r="Q93" s="30" t="str">
        <f t="shared" si="23"/>
        <v/>
      </c>
      <c r="R93" s="19"/>
      <c r="S93" s="19" t="str">
        <f t="shared" si="24"/>
        <v/>
      </c>
      <c r="T93" s="19" t="str">
        <f t="shared" si="25"/>
        <v/>
      </c>
      <c r="U93" s="57" t="str">
        <f t="shared" si="26"/>
        <v/>
      </c>
      <c r="V93" s="57" t="str">
        <f t="shared" si="27"/>
        <v/>
      </c>
      <c r="W93" s="63" t="str">
        <f>IF(U93="","",IF(T94="",P$4-SUM(W$14:W92),IF((YEAR(O93)*1000+MONTH(O93))&gt;=P$9,IF((YEAR(O93)*1000+MONTH(O93))=P$9,ROUND(U93,0),ROUND(T93,0)),"")))</f>
        <v/>
      </c>
      <c r="X93" s="59" t="str">
        <f>IF(S$10="","",IF(P93&lt;=S$10,IF(P93=S$10,P$4-SUM(W$14:W92),W93),""))</f>
        <v/>
      </c>
    </row>
    <row r="94" spans="3:24" ht="15" hidden="1" customHeight="1" outlineLevel="1" x14ac:dyDescent="0.45">
      <c r="C94" s="124"/>
      <c r="D94" s="105"/>
      <c r="E94" s="131"/>
      <c r="F94" s="71"/>
      <c r="G94" s="78" t="str">
        <f t="shared" si="15"/>
        <v/>
      </c>
      <c r="H94" s="3">
        <f t="shared" si="16"/>
        <v>0</v>
      </c>
      <c r="I94" s="20" t="str">
        <f t="shared" si="17"/>
        <v/>
      </c>
      <c r="J94" s="94" t="str">
        <f t="shared" si="14"/>
        <v/>
      </c>
      <c r="K94" s="20" t="str">
        <f t="shared" si="18"/>
        <v/>
      </c>
      <c r="L94" s="94" t="str">
        <f t="shared" si="19"/>
        <v/>
      </c>
      <c r="M94" s="84" t="str">
        <f t="shared" si="20"/>
        <v/>
      </c>
      <c r="O94" s="36" t="str">
        <f t="shared" si="21"/>
        <v/>
      </c>
      <c r="P94" s="27" t="str">
        <f t="shared" si="22"/>
        <v/>
      </c>
      <c r="Q94" s="30" t="str">
        <f t="shared" si="23"/>
        <v/>
      </c>
      <c r="R94" s="19"/>
      <c r="S94" s="19" t="str">
        <f t="shared" si="24"/>
        <v/>
      </c>
      <c r="T94" s="19" t="str">
        <f t="shared" si="25"/>
        <v/>
      </c>
      <c r="U94" s="57" t="str">
        <f t="shared" si="26"/>
        <v/>
      </c>
      <c r="V94" s="57" t="str">
        <f t="shared" si="27"/>
        <v/>
      </c>
      <c r="W94" s="63" t="str">
        <f>IF(U94="","",IF(T95="",P$4-SUM(W$14:W93),IF((YEAR(O94)*1000+MONTH(O94))&gt;=P$9,IF((YEAR(O94)*1000+MONTH(O94))=P$9,ROUND(U94,0),ROUND(T94,0)),"")))</f>
        <v/>
      </c>
      <c r="X94" s="59" t="str">
        <f>IF(S$10="","",IF(P94&lt;=S$10,IF(P94=S$10,P$4-SUM(W$14:W93),W94),""))</f>
        <v/>
      </c>
    </row>
    <row r="95" spans="3:24" ht="15" hidden="1" customHeight="1" outlineLevel="1" x14ac:dyDescent="0.45">
      <c r="C95" s="124"/>
      <c r="D95" s="105"/>
      <c r="E95" s="131"/>
      <c r="F95" s="71"/>
      <c r="G95" s="78" t="str">
        <f t="shared" si="15"/>
        <v/>
      </c>
      <c r="H95" s="3">
        <f t="shared" si="16"/>
        <v>0</v>
      </c>
      <c r="I95" s="20" t="str">
        <f t="shared" si="17"/>
        <v/>
      </c>
      <c r="J95" s="94" t="str">
        <f t="shared" si="14"/>
        <v/>
      </c>
      <c r="K95" s="20" t="str">
        <f t="shared" si="18"/>
        <v/>
      </c>
      <c r="L95" s="94" t="str">
        <f t="shared" si="19"/>
        <v/>
      </c>
      <c r="M95" s="84" t="str">
        <f t="shared" si="20"/>
        <v/>
      </c>
      <c r="O95" s="36" t="str">
        <f t="shared" si="21"/>
        <v/>
      </c>
      <c r="P95" s="27" t="str">
        <f t="shared" si="22"/>
        <v/>
      </c>
      <c r="Q95" s="30" t="str">
        <f t="shared" si="23"/>
        <v/>
      </c>
      <c r="R95" s="19"/>
      <c r="S95" s="19" t="str">
        <f t="shared" si="24"/>
        <v/>
      </c>
      <c r="T95" s="19" t="str">
        <f t="shared" si="25"/>
        <v/>
      </c>
      <c r="U95" s="57" t="str">
        <f t="shared" si="26"/>
        <v/>
      </c>
      <c r="V95" s="57" t="str">
        <f t="shared" si="27"/>
        <v/>
      </c>
      <c r="W95" s="63" t="str">
        <f>IF(U95="","",IF(T96="",P$4-SUM(W$14:W94),IF((YEAR(O95)*1000+MONTH(O95))&gt;=P$9,IF((YEAR(O95)*1000+MONTH(O95))=P$9,ROUND(U95,0),ROUND(T95,0)),"")))</f>
        <v/>
      </c>
      <c r="X95" s="59" t="str">
        <f>IF(S$10="","",IF(P95&lt;=S$10,IF(P95=S$10,P$4-SUM(W$14:W94),W95),""))</f>
        <v/>
      </c>
    </row>
    <row r="96" spans="3:24" ht="15" hidden="1" customHeight="1" outlineLevel="1" x14ac:dyDescent="0.45">
      <c r="C96" s="124"/>
      <c r="D96" s="105"/>
      <c r="E96" s="131"/>
      <c r="F96" s="71"/>
      <c r="G96" s="78" t="str">
        <f t="shared" si="15"/>
        <v/>
      </c>
      <c r="H96" s="3">
        <f t="shared" si="16"/>
        <v>0</v>
      </c>
      <c r="I96" s="20" t="str">
        <f t="shared" si="17"/>
        <v/>
      </c>
      <c r="J96" s="94" t="str">
        <f t="shared" si="14"/>
        <v/>
      </c>
      <c r="K96" s="20" t="str">
        <f t="shared" si="18"/>
        <v/>
      </c>
      <c r="L96" s="94" t="str">
        <f t="shared" si="19"/>
        <v/>
      </c>
      <c r="M96" s="84" t="str">
        <f t="shared" si="20"/>
        <v/>
      </c>
      <c r="O96" s="36" t="str">
        <f t="shared" si="21"/>
        <v/>
      </c>
      <c r="P96" s="27" t="str">
        <f t="shared" si="22"/>
        <v/>
      </c>
      <c r="Q96" s="30" t="str">
        <f t="shared" si="23"/>
        <v/>
      </c>
      <c r="R96" s="19"/>
      <c r="S96" s="19" t="str">
        <f t="shared" si="24"/>
        <v/>
      </c>
      <c r="T96" s="19" t="str">
        <f t="shared" si="25"/>
        <v/>
      </c>
      <c r="U96" s="57" t="str">
        <f t="shared" si="26"/>
        <v/>
      </c>
      <c r="V96" s="57" t="str">
        <f t="shared" si="27"/>
        <v/>
      </c>
      <c r="W96" s="63" t="str">
        <f>IF(U96="","",IF(T97="",P$4-SUM(W$14:W95),IF((YEAR(O96)*1000+MONTH(O96))&gt;=P$9,IF((YEAR(O96)*1000+MONTH(O96))=P$9,ROUND(U96,0),ROUND(T96,0)),"")))</f>
        <v/>
      </c>
      <c r="X96" s="59" t="str">
        <f>IF(S$10="","",IF(P96&lt;=S$10,IF(P96=S$10,P$4-SUM(W$14:W95),W96),""))</f>
        <v/>
      </c>
    </row>
    <row r="97" spans="3:24" ht="15" hidden="1" customHeight="1" outlineLevel="1" x14ac:dyDescent="0.45">
      <c r="C97" s="124"/>
      <c r="D97" s="105"/>
      <c r="E97" s="131"/>
      <c r="F97" s="71"/>
      <c r="G97" s="78" t="str">
        <f t="shared" si="15"/>
        <v/>
      </c>
      <c r="H97" s="3">
        <f t="shared" si="16"/>
        <v>0</v>
      </c>
      <c r="I97" s="20" t="str">
        <f t="shared" si="17"/>
        <v/>
      </c>
      <c r="J97" s="94" t="str">
        <f t="shared" si="14"/>
        <v/>
      </c>
      <c r="K97" s="20" t="str">
        <f t="shared" si="18"/>
        <v/>
      </c>
      <c r="L97" s="94" t="str">
        <f t="shared" si="19"/>
        <v/>
      </c>
      <c r="M97" s="84" t="str">
        <f t="shared" si="20"/>
        <v/>
      </c>
      <c r="O97" s="36" t="str">
        <f t="shared" si="21"/>
        <v/>
      </c>
      <c r="P97" s="27" t="str">
        <f t="shared" si="22"/>
        <v/>
      </c>
      <c r="Q97" s="30" t="str">
        <f t="shared" si="23"/>
        <v/>
      </c>
      <c r="R97" s="19"/>
      <c r="S97" s="19" t="str">
        <f t="shared" si="24"/>
        <v/>
      </c>
      <c r="T97" s="19" t="str">
        <f t="shared" si="25"/>
        <v/>
      </c>
      <c r="U97" s="57" t="str">
        <f t="shared" si="26"/>
        <v/>
      </c>
      <c r="V97" s="57" t="str">
        <f t="shared" si="27"/>
        <v/>
      </c>
      <c r="W97" s="63" t="str">
        <f>IF(U97="","",IF(T98="",P$4-SUM(W$14:W96),IF((YEAR(O97)*1000+MONTH(O97))&gt;=P$9,IF((YEAR(O97)*1000+MONTH(O97))=P$9,ROUND(U97,0),ROUND(T97,0)),"")))</f>
        <v/>
      </c>
      <c r="X97" s="59" t="str">
        <f>IF(S$10="","",IF(P97&lt;=S$10,IF(P97=S$10,P$4-SUM(W$14:W96),W97),""))</f>
        <v/>
      </c>
    </row>
    <row r="98" spans="3:24" ht="15" hidden="1" customHeight="1" outlineLevel="1" x14ac:dyDescent="0.45">
      <c r="C98" s="124"/>
      <c r="D98" s="105"/>
      <c r="E98" s="131"/>
      <c r="F98" s="71"/>
      <c r="G98" s="78" t="str">
        <f t="shared" si="15"/>
        <v/>
      </c>
      <c r="H98" s="3">
        <f t="shared" si="16"/>
        <v>0</v>
      </c>
      <c r="I98" s="20" t="str">
        <f t="shared" si="17"/>
        <v/>
      </c>
      <c r="J98" s="94" t="str">
        <f t="shared" si="14"/>
        <v/>
      </c>
      <c r="K98" s="20" t="str">
        <f t="shared" si="18"/>
        <v/>
      </c>
      <c r="L98" s="94" t="str">
        <f t="shared" si="19"/>
        <v/>
      </c>
      <c r="M98" s="84" t="str">
        <f t="shared" si="20"/>
        <v/>
      </c>
      <c r="O98" s="36" t="str">
        <f t="shared" si="21"/>
        <v/>
      </c>
      <c r="P98" s="27" t="str">
        <f t="shared" si="22"/>
        <v/>
      </c>
      <c r="Q98" s="30" t="str">
        <f t="shared" si="23"/>
        <v/>
      </c>
      <c r="R98" s="19"/>
      <c r="S98" s="19" t="str">
        <f t="shared" si="24"/>
        <v/>
      </c>
      <c r="T98" s="19" t="str">
        <f t="shared" si="25"/>
        <v/>
      </c>
      <c r="U98" s="57" t="str">
        <f t="shared" si="26"/>
        <v/>
      </c>
      <c r="V98" s="57" t="str">
        <f t="shared" si="27"/>
        <v/>
      </c>
      <c r="W98" s="63" t="str">
        <f>IF(U98="","",IF(T99="",P$4-SUM(W$14:W97),IF((YEAR(O98)*1000+MONTH(O98))&gt;=P$9,IF((YEAR(O98)*1000+MONTH(O98))=P$9,ROUND(U98,0),ROUND(T98,0)),"")))</f>
        <v/>
      </c>
      <c r="X98" s="59" t="str">
        <f>IF(S$10="","",IF(P98&lt;=S$10,IF(P98=S$10,P$4-SUM(W$14:W97),W98),""))</f>
        <v/>
      </c>
    </row>
    <row r="99" spans="3:24" ht="15" hidden="1" customHeight="1" outlineLevel="1" x14ac:dyDescent="0.45">
      <c r="C99" s="124"/>
      <c r="D99" s="105"/>
      <c r="E99" s="131"/>
      <c r="F99" s="71"/>
      <c r="G99" s="78" t="str">
        <f t="shared" si="15"/>
        <v/>
      </c>
      <c r="H99" s="3">
        <f t="shared" si="16"/>
        <v>0</v>
      </c>
      <c r="I99" s="20" t="str">
        <f t="shared" si="17"/>
        <v/>
      </c>
      <c r="J99" s="94" t="str">
        <f t="shared" si="14"/>
        <v/>
      </c>
      <c r="K99" s="20" t="str">
        <f t="shared" si="18"/>
        <v/>
      </c>
      <c r="L99" s="94" t="str">
        <f t="shared" si="19"/>
        <v/>
      </c>
      <c r="M99" s="84" t="str">
        <f t="shared" si="20"/>
        <v/>
      </c>
      <c r="O99" s="36" t="str">
        <f t="shared" si="21"/>
        <v/>
      </c>
      <c r="P99" s="27" t="str">
        <f t="shared" si="22"/>
        <v/>
      </c>
      <c r="Q99" s="30" t="str">
        <f t="shared" si="23"/>
        <v/>
      </c>
      <c r="R99" s="19"/>
      <c r="S99" s="19" t="str">
        <f t="shared" si="24"/>
        <v/>
      </c>
      <c r="T99" s="19" t="str">
        <f t="shared" si="25"/>
        <v/>
      </c>
      <c r="U99" s="57" t="str">
        <f t="shared" si="26"/>
        <v/>
      </c>
      <c r="V99" s="57" t="str">
        <f t="shared" si="27"/>
        <v/>
      </c>
      <c r="W99" s="63" t="str">
        <f>IF(U99="","",IF(T100="",P$4-SUM(W$14:W98),IF((YEAR(O99)*1000+MONTH(O99))&gt;=P$9,IF((YEAR(O99)*1000+MONTH(O99))=P$9,ROUND(U99,0),ROUND(T99,0)),"")))</f>
        <v/>
      </c>
      <c r="X99" s="59" t="str">
        <f>IF(S$10="","",IF(P99&lt;=S$10,IF(P99=S$10,P$4-SUM(W$14:W98),W99),""))</f>
        <v/>
      </c>
    </row>
    <row r="100" spans="3:24" ht="15" hidden="1" customHeight="1" outlineLevel="1" x14ac:dyDescent="0.45">
      <c r="C100" s="124"/>
      <c r="D100" s="105"/>
      <c r="E100" s="131"/>
      <c r="F100" s="71"/>
      <c r="G100" s="78" t="str">
        <f t="shared" si="15"/>
        <v/>
      </c>
      <c r="H100" s="3">
        <f t="shared" si="16"/>
        <v>0</v>
      </c>
      <c r="I100" s="20" t="str">
        <f t="shared" si="17"/>
        <v/>
      </c>
      <c r="J100" s="94" t="str">
        <f t="shared" si="14"/>
        <v/>
      </c>
      <c r="K100" s="20" t="str">
        <f t="shared" si="18"/>
        <v/>
      </c>
      <c r="L100" s="94" t="str">
        <f t="shared" si="19"/>
        <v/>
      </c>
      <c r="M100" s="84" t="str">
        <f t="shared" si="20"/>
        <v/>
      </c>
      <c r="O100" s="36" t="str">
        <f t="shared" si="21"/>
        <v/>
      </c>
      <c r="P100" s="27" t="str">
        <f t="shared" si="22"/>
        <v/>
      </c>
      <c r="Q100" s="30" t="str">
        <f t="shared" si="23"/>
        <v/>
      </c>
      <c r="R100" s="19"/>
      <c r="S100" s="19" t="str">
        <f t="shared" si="24"/>
        <v/>
      </c>
      <c r="T100" s="19" t="str">
        <f t="shared" si="25"/>
        <v/>
      </c>
      <c r="U100" s="57" t="str">
        <f t="shared" si="26"/>
        <v/>
      </c>
      <c r="V100" s="57" t="str">
        <f t="shared" si="27"/>
        <v/>
      </c>
      <c r="W100" s="63" t="str">
        <f>IF(U100="","",IF(T101="",P$4-SUM(W$14:W99),IF((YEAR(O100)*1000+MONTH(O100))&gt;=P$9,IF((YEAR(O100)*1000+MONTH(O100))=P$9,ROUND(U100,0),ROUND(T100,0)),"")))</f>
        <v/>
      </c>
      <c r="X100" s="59" t="str">
        <f>IF(S$10="","",IF(P100&lt;=S$10,IF(P100=S$10,P$4-SUM(W$14:W99),W100),""))</f>
        <v/>
      </c>
    </row>
    <row r="101" spans="3:24" ht="15" hidden="1" customHeight="1" outlineLevel="1" x14ac:dyDescent="0.45">
      <c r="C101" s="124"/>
      <c r="D101" s="105"/>
      <c r="E101" s="131"/>
      <c r="F101" s="71"/>
      <c r="G101" s="78" t="str">
        <f t="shared" si="15"/>
        <v/>
      </c>
      <c r="H101" s="3">
        <f t="shared" si="16"/>
        <v>0</v>
      </c>
      <c r="I101" s="20" t="str">
        <f t="shared" si="17"/>
        <v/>
      </c>
      <c r="J101" s="94" t="str">
        <f t="shared" si="14"/>
        <v/>
      </c>
      <c r="K101" s="20" t="str">
        <f t="shared" si="18"/>
        <v/>
      </c>
      <c r="L101" s="94" t="str">
        <f t="shared" si="19"/>
        <v/>
      </c>
      <c r="M101" s="84" t="str">
        <f t="shared" si="20"/>
        <v/>
      </c>
      <c r="O101" s="36" t="str">
        <f t="shared" si="21"/>
        <v/>
      </c>
      <c r="P101" s="27" t="str">
        <f t="shared" si="22"/>
        <v/>
      </c>
      <c r="Q101" s="30" t="str">
        <f t="shared" si="23"/>
        <v/>
      </c>
      <c r="R101" s="19"/>
      <c r="S101" s="19" t="str">
        <f t="shared" si="24"/>
        <v/>
      </c>
      <c r="T101" s="19" t="str">
        <f t="shared" si="25"/>
        <v/>
      </c>
      <c r="U101" s="57" t="str">
        <f t="shared" si="26"/>
        <v/>
      </c>
      <c r="V101" s="57" t="str">
        <f t="shared" si="27"/>
        <v/>
      </c>
      <c r="W101" s="63" t="str">
        <f>IF(U101="","",IF(T102="",P$4-SUM(W$14:W100),IF((YEAR(O101)*1000+MONTH(O101))&gt;=P$9,IF((YEAR(O101)*1000+MONTH(O101))=P$9,ROUND(U101,0),ROUND(T101,0)),"")))</f>
        <v/>
      </c>
      <c r="X101" s="59" t="str">
        <f>IF(S$10="","",IF(P101&lt;=S$10,IF(P101=S$10,P$4-SUM(W$14:W100),W101),""))</f>
        <v/>
      </c>
    </row>
    <row r="102" spans="3:24" ht="15" hidden="1" customHeight="1" outlineLevel="1" x14ac:dyDescent="0.45">
      <c r="C102" s="124"/>
      <c r="D102" s="105"/>
      <c r="E102" s="131"/>
      <c r="F102" s="71"/>
      <c r="G102" s="78" t="str">
        <f t="shared" si="15"/>
        <v/>
      </c>
      <c r="H102" s="3">
        <f t="shared" si="16"/>
        <v>0</v>
      </c>
      <c r="I102" s="20" t="str">
        <f t="shared" si="17"/>
        <v/>
      </c>
      <c r="J102" s="94" t="str">
        <f t="shared" si="14"/>
        <v/>
      </c>
      <c r="K102" s="20" t="str">
        <f t="shared" si="18"/>
        <v/>
      </c>
      <c r="L102" s="94" t="str">
        <f t="shared" si="19"/>
        <v/>
      </c>
      <c r="M102" s="84" t="str">
        <f t="shared" si="20"/>
        <v/>
      </c>
      <c r="O102" s="36" t="str">
        <f t="shared" si="21"/>
        <v/>
      </c>
      <c r="P102" s="27" t="str">
        <f t="shared" si="22"/>
        <v/>
      </c>
      <c r="Q102" s="30" t="str">
        <f t="shared" si="23"/>
        <v/>
      </c>
      <c r="R102" s="19"/>
      <c r="S102" s="19" t="str">
        <f t="shared" si="24"/>
        <v/>
      </c>
      <c r="T102" s="19" t="str">
        <f t="shared" si="25"/>
        <v/>
      </c>
      <c r="U102" s="57" t="str">
        <f t="shared" si="26"/>
        <v/>
      </c>
      <c r="V102" s="57" t="str">
        <f t="shared" si="27"/>
        <v/>
      </c>
      <c r="W102" s="63" t="str">
        <f>IF(U102="","",IF(T103="",P$4-SUM(W$14:W101),IF((YEAR(O102)*1000+MONTH(O102))&gt;=P$9,IF((YEAR(O102)*1000+MONTH(O102))=P$9,ROUND(U102,0),ROUND(T102,0)),"")))</f>
        <v/>
      </c>
      <c r="X102" s="59" t="str">
        <f>IF(S$10="","",IF(P102&lt;=S$10,IF(P102=S$10,P$4-SUM(W$14:W101),W102),""))</f>
        <v/>
      </c>
    </row>
    <row r="103" spans="3:24" ht="15" hidden="1" customHeight="1" outlineLevel="1" x14ac:dyDescent="0.45">
      <c r="C103" s="124"/>
      <c r="D103" s="105"/>
      <c r="E103" s="131"/>
      <c r="F103" s="71"/>
      <c r="G103" s="78" t="str">
        <f t="shared" si="15"/>
        <v/>
      </c>
      <c r="H103" s="3">
        <f t="shared" si="16"/>
        <v>0</v>
      </c>
      <c r="I103" s="20" t="str">
        <f t="shared" si="17"/>
        <v/>
      </c>
      <c r="J103" s="94" t="str">
        <f t="shared" si="14"/>
        <v/>
      </c>
      <c r="K103" s="20" t="str">
        <f t="shared" si="18"/>
        <v/>
      </c>
      <c r="L103" s="94" t="str">
        <f t="shared" si="19"/>
        <v/>
      </c>
      <c r="M103" s="84" t="str">
        <f t="shared" si="20"/>
        <v/>
      </c>
      <c r="O103" s="36" t="str">
        <f t="shared" si="21"/>
        <v/>
      </c>
      <c r="P103" s="27" t="str">
        <f t="shared" si="22"/>
        <v/>
      </c>
      <c r="Q103" s="30" t="str">
        <f t="shared" si="23"/>
        <v/>
      </c>
      <c r="R103" s="19"/>
      <c r="S103" s="19" t="str">
        <f t="shared" si="24"/>
        <v/>
      </c>
      <c r="T103" s="19" t="str">
        <f t="shared" si="25"/>
        <v/>
      </c>
      <c r="U103" s="57" t="str">
        <f t="shared" si="26"/>
        <v/>
      </c>
      <c r="V103" s="57" t="str">
        <f t="shared" si="27"/>
        <v/>
      </c>
      <c r="W103" s="63" t="str">
        <f>IF(U103="","",IF(T104="",P$4-SUM(W$14:W102),IF((YEAR(O103)*1000+MONTH(O103))&gt;=P$9,IF((YEAR(O103)*1000+MONTH(O103))=P$9,ROUND(U103,0),ROUND(T103,0)),"")))</f>
        <v/>
      </c>
      <c r="X103" s="59" t="str">
        <f>IF(S$10="","",IF(P103&lt;=S$10,IF(P103=S$10,P$4-SUM(W$14:W102),W103),""))</f>
        <v/>
      </c>
    </row>
    <row r="104" spans="3:24" ht="15" hidden="1" customHeight="1" outlineLevel="1" x14ac:dyDescent="0.45">
      <c r="C104" s="124"/>
      <c r="D104" s="105"/>
      <c r="E104" s="131"/>
      <c r="F104" s="71"/>
      <c r="G104" s="78" t="str">
        <f t="shared" si="15"/>
        <v/>
      </c>
      <c r="H104" s="3">
        <f t="shared" si="16"/>
        <v>0</v>
      </c>
      <c r="I104" s="20" t="str">
        <f t="shared" si="17"/>
        <v/>
      </c>
      <c r="J104" s="94" t="str">
        <f t="shared" si="14"/>
        <v/>
      </c>
      <c r="K104" s="20" t="str">
        <f t="shared" si="18"/>
        <v/>
      </c>
      <c r="L104" s="94" t="str">
        <f t="shared" si="19"/>
        <v/>
      </c>
      <c r="M104" s="84" t="str">
        <f t="shared" si="20"/>
        <v/>
      </c>
      <c r="O104" s="36" t="str">
        <f t="shared" si="21"/>
        <v/>
      </c>
      <c r="P104" s="27" t="str">
        <f t="shared" si="22"/>
        <v/>
      </c>
      <c r="Q104" s="30" t="str">
        <f t="shared" si="23"/>
        <v/>
      </c>
      <c r="R104" s="19"/>
      <c r="S104" s="19" t="str">
        <f t="shared" si="24"/>
        <v/>
      </c>
      <c r="T104" s="19" t="str">
        <f t="shared" si="25"/>
        <v/>
      </c>
      <c r="U104" s="57" t="str">
        <f t="shared" si="26"/>
        <v/>
      </c>
      <c r="V104" s="57" t="str">
        <f t="shared" si="27"/>
        <v/>
      </c>
      <c r="W104" s="63" t="str">
        <f>IF(U104="","",IF(T105="",P$4-SUM(W$14:W103),IF((YEAR(O104)*1000+MONTH(O104))&gt;=P$9,IF((YEAR(O104)*1000+MONTH(O104))=P$9,ROUND(U104,0),ROUND(T104,0)),"")))</f>
        <v/>
      </c>
      <c r="X104" s="59" t="str">
        <f>IF(S$10="","",IF(P104&lt;=S$10,IF(P104=S$10,P$4-SUM(W$14:W103),W104),""))</f>
        <v/>
      </c>
    </row>
    <row r="105" spans="3:24" ht="15" hidden="1" customHeight="1" outlineLevel="1" x14ac:dyDescent="0.45">
      <c r="C105" s="124"/>
      <c r="D105" s="105"/>
      <c r="E105" s="131"/>
      <c r="F105" s="71"/>
      <c r="G105" s="78" t="str">
        <f t="shared" si="15"/>
        <v/>
      </c>
      <c r="H105" s="3">
        <f t="shared" si="16"/>
        <v>0</v>
      </c>
      <c r="I105" s="20" t="str">
        <f t="shared" si="17"/>
        <v/>
      </c>
      <c r="J105" s="94" t="str">
        <f t="shared" si="14"/>
        <v/>
      </c>
      <c r="K105" s="20" t="str">
        <f t="shared" si="18"/>
        <v/>
      </c>
      <c r="L105" s="94" t="str">
        <f t="shared" si="19"/>
        <v/>
      </c>
      <c r="M105" s="84" t="str">
        <f t="shared" si="20"/>
        <v/>
      </c>
      <c r="O105" s="36" t="str">
        <f t="shared" si="21"/>
        <v/>
      </c>
      <c r="P105" s="27" t="str">
        <f t="shared" si="22"/>
        <v/>
      </c>
      <c r="Q105" s="30" t="str">
        <f t="shared" si="23"/>
        <v/>
      </c>
      <c r="R105" s="19"/>
      <c r="S105" s="19" t="str">
        <f t="shared" si="24"/>
        <v/>
      </c>
      <c r="T105" s="19" t="str">
        <f t="shared" si="25"/>
        <v/>
      </c>
      <c r="U105" s="57" t="str">
        <f t="shared" si="26"/>
        <v/>
      </c>
      <c r="V105" s="57" t="str">
        <f t="shared" si="27"/>
        <v/>
      </c>
      <c r="W105" s="63" t="str">
        <f>IF(U105="","",IF(T106="",P$4-SUM(W$14:W104),IF((YEAR(O105)*1000+MONTH(O105))&gt;=P$9,IF((YEAR(O105)*1000+MONTH(O105))=P$9,ROUND(U105,0),ROUND(T105,0)),"")))</f>
        <v/>
      </c>
      <c r="X105" s="59" t="str">
        <f>IF(S$10="","",IF(P105&lt;=S$10,IF(P105=S$10,P$4-SUM(W$14:W104),W105),""))</f>
        <v/>
      </c>
    </row>
    <row r="106" spans="3:24" ht="15" hidden="1" customHeight="1" outlineLevel="1" x14ac:dyDescent="0.45">
      <c r="C106" s="124"/>
      <c r="D106" s="105"/>
      <c r="E106" s="131"/>
      <c r="F106" s="71"/>
      <c r="G106" s="78" t="str">
        <f t="shared" si="15"/>
        <v/>
      </c>
      <c r="H106" s="3">
        <f t="shared" si="16"/>
        <v>0</v>
      </c>
      <c r="I106" s="20" t="str">
        <f t="shared" si="17"/>
        <v/>
      </c>
      <c r="J106" s="94" t="str">
        <f t="shared" si="14"/>
        <v/>
      </c>
      <c r="K106" s="20" t="str">
        <f t="shared" si="18"/>
        <v/>
      </c>
      <c r="L106" s="94" t="str">
        <f t="shared" si="19"/>
        <v/>
      </c>
      <c r="M106" s="84" t="str">
        <f t="shared" si="20"/>
        <v/>
      </c>
      <c r="O106" s="36" t="str">
        <f t="shared" si="21"/>
        <v/>
      </c>
      <c r="P106" s="27" t="str">
        <f t="shared" si="22"/>
        <v/>
      </c>
      <c r="Q106" s="30" t="str">
        <f t="shared" si="23"/>
        <v/>
      </c>
      <c r="R106" s="19"/>
      <c r="S106" s="19" t="str">
        <f t="shared" si="24"/>
        <v/>
      </c>
      <c r="T106" s="19" t="str">
        <f t="shared" si="25"/>
        <v/>
      </c>
      <c r="U106" s="57" t="str">
        <f t="shared" si="26"/>
        <v/>
      </c>
      <c r="V106" s="57" t="str">
        <f t="shared" si="27"/>
        <v/>
      </c>
      <c r="W106" s="63" t="str">
        <f>IF(U106="","",IF(T107="",P$4-SUM(W$14:W105),IF((YEAR(O106)*1000+MONTH(O106))&gt;=P$9,IF((YEAR(O106)*1000+MONTH(O106))=P$9,ROUND(U106,0),ROUND(T106,0)),"")))</f>
        <v/>
      </c>
      <c r="X106" s="59" t="str">
        <f>IF(S$10="","",IF(P106&lt;=S$10,IF(P106=S$10,P$4-SUM(W$14:W105),W106),""))</f>
        <v/>
      </c>
    </row>
    <row r="107" spans="3:24" ht="15" hidden="1" customHeight="1" outlineLevel="1" x14ac:dyDescent="0.45">
      <c r="C107" s="124"/>
      <c r="D107" s="105"/>
      <c r="E107" s="131"/>
      <c r="F107" s="71"/>
      <c r="G107" s="78" t="str">
        <f t="shared" si="15"/>
        <v/>
      </c>
      <c r="H107" s="3">
        <f t="shared" si="16"/>
        <v>0</v>
      </c>
      <c r="I107" s="20" t="str">
        <f t="shared" si="17"/>
        <v/>
      </c>
      <c r="J107" s="94" t="str">
        <f t="shared" si="14"/>
        <v/>
      </c>
      <c r="K107" s="20" t="str">
        <f t="shared" si="18"/>
        <v/>
      </c>
      <c r="L107" s="94" t="str">
        <f t="shared" si="19"/>
        <v/>
      </c>
      <c r="M107" s="84" t="str">
        <f t="shared" si="20"/>
        <v/>
      </c>
      <c r="O107" s="36" t="str">
        <f t="shared" si="21"/>
        <v/>
      </c>
      <c r="P107" s="27" t="str">
        <f t="shared" si="22"/>
        <v/>
      </c>
      <c r="Q107" s="30" t="str">
        <f t="shared" si="23"/>
        <v/>
      </c>
      <c r="R107" s="19"/>
      <c r="S107" s="19" t="str">
        <f t="shared" si="24"/>
        <v/>
      </c>
      <c r="T107" s="19" t="str">
        <f t="shared" si="25"/>
        <v/>
      </c>
      <c r="U107" s="57" t="str">
        <f t="shared" si="26"/>
        <v/>
      </c>
      <c r="V107" s="57" t="str">
        <f t="shared" si="27"/>
        <v/>
      </c>
      <c r="W107" s="63" t="str">
        <f>IF(U107="","",IF(T108="",P$4-SUM(W$14:W106),IF((YEAR(O107)*1000+MONTH(O107))&gt;=P$9,IF((YEAR(O107)*1000+MONTH(O107))=P$9,ROUND(U107,0),ROUND(T107,0)),"")))</f>
        <v/>
      </c>
      <c r="X107" s="59" t="str">
        <f>IF(S$10="","",IF(P107&lt;=S$10,IF(P107=S$10,P$4-SUM(W$14:W106),W107),""))</f>
        <v/>
      </c>
    </row>
    <row r="108" spans="3:24" ht="15" hidden="1" customHeight="1" outlineLevel="1" x14ac:dyDescent="0.45">
      <c r="C108" s="124"/>
      <c r="D108" s="105"/>
      <c r="E108" s="131"/>
      <c r="F108" s="71"/>
      <c r="G108" s="78" t="str">
        <f t="shared" si="15"/>
        <v/>
      </c>
      <c r="H108" s="3">
        <f t="shared" si="16"/>
        <v>0</v>
      </c>
      <c r="I108" s="20" t="str">
        <f t="shared" si="17"/>
        <v/>
      </c>
      <c r="J108" s="94" t="str">
        <f t="shared" si="14"/>
        <v/>
      </c>
      <c r="K108" s="20" t="str">
        <f t="shared" si="18"/>
        <v/>
      </c>
      <c r="L108" s="94" t="str">
        <f t="shared" si="19"/>
        <v/>
      </c>
      <c r="M108" s="84" t="str">
        <f t="shared" si="20"/>
        <v/>
      </c>
      <c r="O108" s="36" t="str">
        <f t="shared" si="21"/>
        <v/>
      </c>
      <c r="P108" s="27" t="str">
        <f t="shared" si="22"/>
        <v/>
      </c>
      <c r="Q108" s="30" t="str">
        <f t="shared" si="23"/>
        <v/>
      </c>
      <c r="R108" s="19"/>
      <c r="S108" s="19" t="str">
        <f t="shared" si="24"/>
        <v/>
      </c>
      <c r="T108" s="19" t="str">
        <f t="shared" si="25"/>
        <v/>
      </c>
      <c r="U108" s="57" t="str">
        <f t="shared" si="26"/>
        <v/>
      </c>
      <c r="V108" s="57" t="str">
        <f t="shared" si="27"/>
        <v/>
      </c>
      <c r="W108" s="63" t="str">
        <f>IF(U108="","",IF(T109="",P$4-SUM(W$14:W107),IF((YEAR(O108)*1000+MONTH(O108))&gt;=P$9,IF((YEAR(O108)*1000+MONTH(O108))=P$9,ROUND(U108,0),ROUND(T108,0)),"")))</f>
        <v/>
      </c>
      <c r="X108" s="59" t="str">
        <f>IF(S$10="","",IF(P108&lt;=S$10,IF(P108=S$10,P$4-SUM(W$14:W107),W108),""))</f>
        <v/>
      </c>
    </row>
    <row r="109" spans="3:24" ht="15" hidden="1" customHeight="1" outlineLevel="1" x14ac:dyDescent="0.45">
      <c r="C109" s="124"/>
      <c r="D109" s="105"/>
      <c r="E109" s="131"/>
      <c r="F109" s="71"/>
      <c r="G109" s="78" t="str">
        <f t="shared" si="15"/>
        <v/>
      </c>
      <c r="H109" s="3">
        <f t="shared" si="16"/>
        <v>0</v>
      </c>
      <c r="I109" s="20" t="str">
        <f t="shared" si="17"/>
        <v/>
      </c>
      <c r="J109" s="94" t="str">
        <f t="shared" si="14"/>
        <v/>
      </c>
      <c r="K109" s="20" t="str">
        <f t="shared" si="18"/>
        <v/>
      </c>
      <c r="L109" s="94" t="str">
        <f t="shared" si="19"/>
        <v/>
      </c>
      <c r="M109" s="84" t="str">
        <f t="shared" si="20"/>
        <v/>
      </c>
      <c r="O109" s="36" t="str">
        <f t="shared" si="21"/>
        <v/>
      </c>
      <c r="P109" s="27" t="str">
        <f t="shared" si="22"/>
        <v/>
      </c>
      <c r="Q109" s="30" t="str">
        <f t="shared" si="23"/>
        <v/>
      </c>
      <c r="R109" s="19"/>
      <c r="S109" s="19" t="str">
        <f t="shared" si="24"/>
        <v/>
      </c>
      <c r="T109" s="19" t="str">
        <f t="shared" si="25"/>
        <v/>
      </c>
      <c r="U109" s="57" t="str">
        <f t="shared" si="26"/>
        <v/>
      </c>
      <c r="V109" s="57" t="str">
        <f t="shared" si="27"/>
        <v/>
      </c>
      <c r="W109" s="63" t="str">
        <f>IF(U109="","",IF(T110="",P$4-SUM(W$14:W108),IF((YEAR(O109)*1000+MONTH(O109))&gt;=P$9,IF((YEAR(O109)*1000+MONTH(O109))=P$9,ROUND(U109,0),ROUND(T109,0)),"")))</f>
        <v/>
      </c>
      <c r="X109" s="59" t="str">
        <f>IF(S$10="","",IF(P109&lt;=S$10,IF(P109=S$10,P$4-SUM(W$14:W108),W109),""))</f>
        <v/>
      </c>
    </row>
    <row r="110" spans="3:24" ht="15" hidden="1" customHeight="1" outlineLevel="1" x14ac:dyDescent="0.45">
      <c r="C110" s="124"/>
      <c r="D110" s="105"/>
      <c r="E110" s="131"/>
      <c r="F110" s="71"/>
      <c r="G110" s="78" t="str">
        <f t="shared" si="15"/>
        <v/>
      </c>
      <c r="H110" s="3">
        <f t="shared" si="16"/>
        <v>0</v>
      </c>
      <c r="I110" s="20" t="str">
        <f t="shared" si="17"/>
        <v/>
      </c>
      <c r="J110" s="94" t="str">
        <f t="shared" si="14"/>
        <v/>
      </c>
      <c r="K110" s="20" t="str">
        <f t="shared" si="18"/>
        <v/>
      </c>
      <c r="L110" s="94" t="str">
        <f t="shared" si="19"/>
        <v/>
      </c>
      <c r="M110" s="84" t="str">
        <f t="shared" si="20"/>
        <v/>
      </c>
      <c r="O110" s="36" t="str">
        <f t="shared" si="21"/>
        <v/>
      </c>
      <c r="P110" s="27" t="str">
        <f t="shared" si="22"/>
        <v/>
      </c>
      <c r="Q110" s="30" t="str">
        <f t="shared" si="23"/>
        <v/>
      </c>
      <c r="R110" s="19"/>
      <c r="S110" s="19" t="str">
        <f t="shared" si="24"/>
        <v/>
      </c>
      <c r="T110" s="19" t="str">
        <f t="shared" si="25"/>
        <v/>
      </c>
      <c r="U110" s="57" t="str">
        <f t="shared" si="26"/>
        <v/>
      </c>
      <c r="V110" s="57" t="str">
        <f t="shared" si="27"/>
        <v/>
      </c>
      <c r="W110" s="63" t="str">
        <f>IF(U110="","",IF(T111="",P$4-SUM(W$14:W109),IF((YEAR(O110)*1000+MONTH(O110))&gt;=P$9,IF((YEAR(O110)*1000+MONTH(O110))=P$9,ROUND(U110,0),ROUND(T110,0)),"")))</f>
        <v/>
      </c>
      <c r="X110" s="59" t="str">
        <f>IF(S$10="","",IF(P110&lt;=S$10,IF(P110=S$10,P$4-SUM(W$14:W109),W110),""))</f>
        <v/>
      </c>
    </row>
    <row r="111" spans="3:24" ht="15" hidden="1" customHeight="1" outlineLevel="1" x14ac:dyDescent="0.45">
      <c r="C111" s="124"/>
      <c r="D111" s="105"/>
      <c r="E111" s="131"/>
      <c r="F111" s="71"/>
      <c r="G111" s="78" t="str">
        <f t="shared" si="15"/>
        <v/>
      </c>
      <c r="H111" s="3">
        <f t="shared" si="16"/>
        <v>0</v>
      </c>
      <c r="I111" s="20" t="str">
        <f t="shared" si="17"/>
        <v/>
      </c>
      <c r="J111" s="94" t="str">
        <f t="shared" si="14"/>
        <v/>
      </c>
      <c r="K111" s="20" t="str">
        <f t="shared" si="18"/>
        <v/>
      </c>
      <c r="L111" s="94" t="str">
        <f t="shared" si="19"/>
        <v/>
      </c>
      <c r="M111" s="84" t="str">
        <f t="shared" si="20"/>
        <v/>
      </c>
      <c r="O111" s="36" t="str">
        <f t="shared" si="21"/>
        <v/>
      </c>
      <c r="P111" s="27" t="str">
        <f t="shared" si="22"/>
        <v/>
      </c>
      <c r="Q111" s="30" t="str">
        <f t="shared" si="23"/>
        <v/>
      </c>
      <c r="R111" s="19"/>
      <c r="S111" s="19" t="str">
        <f t="shared" si="24"/>
        <v/>
      </c>
      <c r="T111" s="19" t="str">
        <f t="shared" si="25"/>
        <v/>
      </c>
      <c r="U111" s="57" t="str">
        <f t="shared" si="26"/>
        <v/>
      </c>
      <c r="V111" s="57" t="str">
        <f t="shared" si="27"/>
        <v/>
      </c>
      <c r="W111" s="63" t="str">
        <f>IF(U111="","",IF(T112="",P$4-SUM(W$14:W110),IF((YEAR(O111)*1000+MONTH(O111))&gt;=P$9,IF((YEAR(O111)*1000+MONTH(O111))=P$9,ROUND(U111,0),ROUND(T111,0)),"")))</f>
        <v/>
      </c>
      <c r="X111" s="59" t="str">
        <f>IF(S$10="","",IF(P111&lt;=S$10,IF(P111=S$10,P$4-SUM(W$14:W110),W111),""))</f>
        <v/>
      </c>
    </row>
    <row r="112" spans="3:24" ht="15" hidden="1" customHeight="1" outlineLevel="1" x14ac:dyDescent="0.45">
      <c r="C112" s="124"/>
      <c r="D112" s="105"/>
      <c r="E112" s="131"/>
      <c r="F112" s="71"/>
      <c r="G112" s="78" t="str">
        <f t="shared" si="15"/>
        <v/>
      </c>
      <c r="H112" s="3">
        <f t="shared" si="16"/>
        <v>0</v>
      </c>
      <c r="I112" s="20" t="str">
        <f t="shared" si="17"/>
        <v/>
      </c>
      <c r="J112" s="94" t="str">
        <f t="shared" si="14"/>
        <v/>
      </c>
      <c r="K112" s="20" t="str">
        <f t="shared" si="18"/>
        <v/>
      </c>
      <c r="L112" s="94" t="str">
        <f t="shared" si="19"/>
        <v/>
      </c>
      <c r="M112" s="84" t="str">
        <f t="shared" si="20"/>
        <v/>
      </c>
      <c r="O112" s="36" t="str">
        <f t="shared" si="21"/>
        <v/>
      </c>
      <c r="P112" s="27" t="str">
        <f t="shared" si="22"/>
        <v/>
      </c>
      <c r="Q112" s="30" t="str">
        <f t="shared" si="23"/>
        <v/>
      </c>
      <c r="R112" s="19"/>
      <c r="S112" s="19" t="str">
        <f t="shared" si="24"/>
        <v/>
      </c>
      <c r="T112" s="19" t="str">
        <f t="shared" si="25"/>
        <v/>
      </c>
      <c r="U112" s="57" t="str">
        <f t="shared" si="26"/>
        <v/>
      </c>
      <c r="V112" s="57" t="str">
        <f t="shared" si="27"/>
        <v/>
      </c>
      <c r="W112" s="63" t="str">
        <f>IF(U112="","",IF(T113="",P$4-SUM(W$14:W111),IF((YEAR(O112)*1000+MONTH(O112))&gt;=P$9,IF((YEAR(O112)*1000+MONTH(O112))=P$9,ROUND(U112,0),ROUND(T112,0)),"")))</f>
        <v/>
      </c>
      <c r="X112" s="59" t="str">
        <f>IF(S$10="","",IF(P112&lt;=S$10,IF(P112=S$10,P$4-SUM(W$14:W111),W112),""))</f>
        <v/>
      </c>
    </row>
    <row r="113" spans="3:24" ht="15" hidden="1" customHeight="1" outlineLevel="1" x14ac:dyDescent="0.45">
      <c r="C113" s="124"/>
      <c r="D113" s="105"/>
      <c r="E113" s="131"/>
      <c r="F113" s="71"/>
      <c r="G113" s="78" t="str">
        <f t="shared" si="15"/>
        <v/>
      </c>
      <c r="H113" s="3">
        <f t="shared" si="16"/>
        <v>0</v>
      </c>
      <c r="I113" s="20" t="str">
        <f t="shared" si="17"/>
        <v/>
      </c>
      <c r="J113" s="94" t="str">
        <f t="shared" si="14"/>
        <v/>
      </c>
      <c r="K113" s="20" t="str">
        <f t="shared" si="18"/>
        <v/>
      </c>
      <c r="L113" s="94" t="str">
        <f t="shared" si="19"/>
        <v/>
      </c>
      <c r="M113" s="84" t="str">
        <f t="shared" si="20"/>
        <v/>
      </c>
      <c r="O113" s="36" t="str">
        <f t="shared" si="21"/>
        <v/>
      </c>
      <c r="P113" s="27" t="str">
        <f t="shared" si="22"/>
        <v/>
      </c>
      <c r="Q113" s="30" t="str">
        <f t="shared" si="23"/>
        <v/>
      </c>
      <c r="R113" s="19"/>
      <c r="S113" s="19" t="str">
        <f t="shared" si="24"/>
        <v/>
      </c>
      <c r="T113" s="19" t="str">
        <f t="shared" si="25"/>
        <v/>
      </c>
      <c r="U113" s="57" t="str">
        <f t="shared" si="26"/>
        <v/>
      </c>
      <c r="V113" s="57" t="str">
        <f t="shared" si="27"/>
        <v/>
      </c>
      <c r="W113" s="63" t="str">
        <f>IF(U113="","",IF(T114="",P$4-SUM(W$14:W112),IF((YEAR(O113)*1000+MONTH(O113))&gt;=P$9,IF((YEAR(O113)*1000+MONTH(O113))=P$9,ROUND(U113,0),ROUND(T113,0)),"")))</f>
        <v/>
      </c>
      <c r="X113" s="59" t="str">
        <f>IF(S$10="","",IF(P113&lt;=S$10,IF(P113=S$10,P$4-SUM(W$14:W112),W113),""))</f>
        <v/>
      </c>
    </row>
    <row r="114" spans="3:24" ht="15" hidden="1" customHeight="1" outlineLevel="1" x14ac:dyDescent="0.45">
      <c r="C114" s="124"/>
      <c r="D114" s="105"/>
      <c r="E114" s="131"/>
      <c r="F114" s="71"/>
      <c r="G114" s="78" t="str">
        <f t="shared" si="15"/>
        <v/>
      </c>
      <c r="H114" s="3">
        <f t="shared" si="16"/>
        <v>0</v>
      </c>
      <c r="I114" s="20" t="str">
        <f t="shared" si="17"/>
        <v/>
      </c>
      <c r="J114" s="94" t="str">
        <f t="shared" si="14"/>
        <v/>
      </c>
      <c r="K114" s="20" t="str">
        <f t="shared" si="18"/>
        <v/>
      </c>
      <c r="L114" s="94" t="str">
        <f t="shared" si="19"/>
        <v/>
      </c>
      <c r="M114" s="84" t="str">
        <f t="shared" si="20"/>
        <v/>
      </c>
      <c r="O114" s="36" t="str">
        <f t="shared" si="21"/>
        <v/>
      </c>
      <c r="P114" s="27" t="str">
        <f t="shared" si="22"/>
        <v/>
      </c>
      <c r="Q114" s="30" t="str">
        <f t="shared" si="23"/>
        <v/>
      </c>
      <c r="R114" s="19"/>
      <c r="S114" s="19" t="str">
        <f t="shared" si="24"/>
        <v/>
      </c>
      <c r="T114" s="19" t="str">
        <f t="shared" si="25"/>
        <v/>
      </c>
      <c r="U114" s="57" t="str">
        <f t="shared" si="26"/>
        <v/>
      </c>
      <c r="V114" s="57" t="str">
        <f t="shared" si="27"/>
        <v/>
      </c>
      <c r="W114" s="63" t="str">
        <f>IF(U114="","",IF(T115="",P$4-SUM(W$14:W113),IF((YEAR(O114)*1000+MONTH(O114))&gt;=P$9,IF((YEAR(O114)*1000+MONTH(O114))=P$9,ROUND(U114,0),ROUND(T114,0)),"")))</f>
        <v/>
      </c>
      <c r="X114" s="59" t="str">
        <f>IF(S$10="","",IF(P114&lt;=S$10,IF(P114=S$10,P$4-SUM(W$14:W113),W114),""))</f>
        <v/>
      </c>
    </row>
    <row r="115" spans="3:24" ht="15" hidden="1" customHeight="1" outlineLevel="1" x14ac:dyDescent="0.45">
      <c r="C115" s="124"/>
      <c r="D115" s="105"/>
      <c r="E115" s="131"/>
      <c r="F115" s="71"/>
      <c r="G115" s="78" t="str">
        <f t="shared" si="15"/>
        <v/>
      </c>
      <c r="H115" s="3">
        <f t="shared" si="16"/>
        <v>0</v>
      </c>
      <c r="I115" s="20" t="str">
        <f t="shared" si="17"/>
        <v/>
      </c>
      <c r="J115" s="94" t="str">
        <f t="shared" si="14"/>
        <v/>
      </c>
      <c r="K115" s="20" t="str">
        <f t="shared" si="18"/>
        <v/>
      </c>
      <c r="L115" s="94" t="str">
        <f t="shared" si="19"/>
        <v/>
      </c>
      <c r="M115" s="84" t="str">
        <f t="shared" si="20"/>
        <v/>
      </c>
      <c r="O115" s="36" t="str">
        <f t="shared" si="21"/>
        <v/>
      </c>
      <c r="P115" s="27" t="str">
        <f t="shared" si="22"/>
        <v/>
      </c>
      <c r="Q115" s="30" t="str">
        <f t="shared" si="23"/>
        <v/>
      </c>
      <c r="R115" s="19"/>
      <c r="S115" s="19" t="str">
        <f t="shared" si="24"/>
        <v/>
      </c>
      <c r="T115" s="19" t="str">
        <f t="shared" si="25"/>
        <v/>
      </c>
      <c r="U115" s="57" t="str">
        <f t="shared" si="26"/>
        <v/>
      </c>
      <c r="V115" s="57" t="str">
        <f t="shared" si="27"/>
        <v/>
      </c>
      <c r="W115" s="63" t="str">
        <f>IF(U115="","",IF(T116="",P$4-SUM(W$14:W114),IF((YEAR(O115)*1000+MONTH(O115))&gt;=P$9,IF((YEAR(O115)*1000+MONTH(O115))=P$9,ROUND(U115,0),ROUND(T115,0)),"")))</f>
        <v/>
      </c>
      <c r="X115" s="59" t="str">
        <f>IF(S$10="","",IF(P115&lt;=S$10,IF(P115=S$10,P$4-SUM(W$14:W114),W115),""))</f>
        <v/>
      </c>
    </row>
    <row r="116" spans="3:24" ht="15" hidden="1" customHeight="1" outlineLevel="1" x14ac:dyDescent="0.45">
      <c r="C116" s="124"/>
      <c r="D116" s="105"/>
      <c r="E116" s="131"/>
      <c r="F116" s="71"/>
      <c r="G116" s="78" t="str">
        <f t="shared" si="15"/>
        <v/>
      </c>
      <c r="H116" s="3">
        <f t="shared" si="16"/>
        <v>0</v>
      </c>
      <c r="I116" s="20" t="str">
        <f t="shared" si="17"/>
        <v/>
      </c>
      <c r="J116" s="94" t="str">
        <f t="shared" si="14"/>
        <v/>
      </c>
      <c r="K116" s="20" t="str">
        <f t="shared" si="18"/>
        <v/>
      </c>
      <c r="L116" s="94" t="str">
        <f t="shared" si="19"/>
        <v/>
      </c>
      <c r="M116" s="84" t="str">
        <f t="shared" si="20"/>
        <v/>
      </c>
      <c r="O116" s="36" t="str">
        <f t="shared" si="21"/>
        <v/>
      </c>
      <c r="P116" s="27" t="str">
        <f t="shared" si="22"/>
        <v/>
      </c>
      <c r="Q116" s="30" t="str">
        <f t="shared" si="23"/>
        <v/>
      </c>
      <c r="R116" s="19"/>
      <c r="S116" s="19" t="str">
        <f t="shared" si="24"/>
        <v/>
      </c>
      <c r="T116" s="19" t="str">
        <f t="shared" si="25"/>
        <v/>
      </c>
      <c r="U116" s="57" t="str">
        <f t="shared" si="26"/>
        <v/>
      </c>
      <c r="V116" s="57" t="str">
        <f t="shared" si="27"/>
        <v/>
      </c>
      <c r="W116" s="63" t="str">
        <f>IF(U116="","",IF(T117="",P$4-SUM(W$14:W115),IF((YEAR(O116)*1000+MONTH(O116))&gt;=P$9,IF((YEAR(O116)*1000+MONTH(O116))=P$9,ROUND(U116,0),ROUND(T116,0)),"")))</f>
        <v/>
      </c>
      <c r="X116" s="59" t="str">
        <f>IF(S$10="","",IF(P116&lt;=S$10,IF(P116=S$10,P$4-SUM(W$14:W115),W116),""))</f>
        <v/>
      </c>
    </row>
    <row r="117" spans="3:24" ht="15" hidden="1" customHeight="1" outlineLevel="1" x14ac:dyDescent="0.45">
      <c r="C117" s="124"/>
      <c r="D117" s="105"/>
      <c r="E117" s="131"/>
      <c r="F117" s="71"/>
      <c r="G117" s="78" t="str">
        <f t="shared" si="15"/>
        <v/>
      </c>
      <c r="H117" s="3">
        <f t="shared" si="16"/>
        <v>0</v>
      </c>
      <c r="I117" s="20" t="str">
        <f t="shared" si="17"/>
        <v/>
      </c>
      <c r="J117" s="94" t="str">
        <f t="shared" si="14"/>
        <v/>
      </c>
      <c r="K117" s="20" t="str">
        <f t="shared" si="18"/>
        <v/>
      </c>
      <c r="L117" s="94" t="str">
        <f t="shared" si="19"/>
        <v/>
      </c>
      <c r="M117" s="84" t="str">
        <f t="shared" si="20"/>
        <v/>
      </c>
      <c r="O117" s="36" t="str">
        <f t="shared" si="21"/>
        <v/>
      </c>
      <c r="P117" s="27" t="str">
        <f t="shared" si="22"/>
        <v/>
      </c>
      <c r="Q117" s="30" t="str">
        <f t="shared" si="23"/>
        <v/>
      </c>
      <c r="R117" s="19"/>
      <c r="S117" s="19" t="str">
        <f t="shared" si="24"/>
        <v/>
      </c>
      <c r="T117" s="19" t="str">
        <f t="shared" si="25"/>
        <v/>
      </c>
      <c r="U117" s="57" t="str">
        <f t="shared" si="26"/>
        <v/>
      </c>
      <c r="V117" s="57" t="str">
        <f t="shared" si="27"/>
        <v/>
      </c>
      <c r="W117" s="63" t="str">
        <f>IF(U117="","",IF(T118="",P$4-SUM(W$14:W116),IF((YEAR(O117)*1000+MONTH(O117))&gt;=P$9,IF((YEAR(O117)*1000+MONTH(O117))=P$9,ROUND(U117,0),ROUND(T117,0)),"")))</f>
        <v/>
      </c>
      <c r="X117" s="59" t="str">
        <f>IF(S$10="","",IF(P117&lt;=S$10,IF(P117=S$10,P$4-SUM(W$14:W116),W117),""))</f>
        <v/>
      </c>
    </row>
    <row r="118" spans="3:24" ht="15" hidden="1" customHeight="1" outlineLevel="1" x14ac:dyDescent="0.45">
      <c r="C118" s="124"/>
      <c r="D118" s="105"/>
      <c r="E118" s="131"/>
      <c r="F118" s="71"/>
      <c r="G118" s="78" t="str">
        <f t="shared" si="15"/>
        <v/>
      </c>
      <c r="H118" s="3">
        <f t="shared" si="16"/>
        <v>0</v>
      </c>
      <c r="I118" s="20" t="str">
        <f t="shared" si="17"/>
        <v/>
      </c>
      <c r="J118" s="94" t="str">
        <f t="shared" si="14"/>
        <v/>
      </c>
      <c r="K118" s="20" t="str">
        <f t="shared" si="18"/>
        <v/>
      </c>
      <c r="L118" s="94" t="str">
        <f t="shared" si="19"/>
        <v/>
      </c>
      <c r="M118" s="84" t="str">
        <f t="shared" si="20"/>
        <v/>
      </c>
      <c r="O118" s="36" t="str">
        <f t="shared" si="21"/>
        <v/>
      </c>
      <c r="P118" s="27" t="str">
        <f t="shared" si="22"/>
        <v/>
      </c>
      <c r="Q118" s="30" t="str">
        <f t="shared" si="23"/>
        <v/>
      </c>
      <c r="R118" s="19"/>
      <c r="S118" s="19" t="str">
        <f t="shared" si="24"/>
        <v/>
      </c>
      <c r="T118" s="19" t="str">
        <f t="shared" si="25"/>
        <v/>
      </c>
      <c r="U118" s="57" t="str">
        <f t="shared" si="26"/>
        <v/>
      </c>
      <c r="V118" s="57" t="str">
        <f t="shared" si="27"/>
        <v/>
      </c>
      <c r="W118" s="63" t="str">
        <f>IF(U118="","",IF(T119="",P$4-SUM(W$14:W117),IF((YEAR(O118)*1000+MONTH(O118))&gt;=P$9,IF((YEAR(O118)*1000+MONTH(O118))=P$9,ROUND(U118,0),ROUND(T118,0)),"")))</f>
        <v/>
      </c>
      <c r="X118" s="59" t="str">
        <f>IF(S$10="","",IF(P118&lt;=S$10,IF(P118=S$10,P$4-SUM(W$14:W117),W118),""))</f>
        <v/>
      </c>
    </row>
    <row r="119" spans="3:24" ht="15" hidden="1" customHeight="1" outlineLevel="1" x14ac:dyDescent="0.45">
      <c r="C119" s="124"/>
      <c r="D119" s="105"/>
      <c r="E119" s="131"/>
      <c r="F119" s="71"/>
      <c r="G119" s="78" t="str">
        <f t="shared" si="15"/>
        <v/>
      </c>
      <c r="H119" s="3">
        <f t="shared" si="16"/>
        <v>0</v>
      </c>
      <c r="I119" s="20" t="str">
        <f t="shared" si="17"/>
        <v/>
      </c>
      <c r="J119" s="94" t="str">
        <f t="shared" si="14"/>
        <v/>
      </c>
      <c r="K119" s="20" t="str">
        <f t="shared" si="18"/>
        <v/>
      </c>
      <c r="L119" s="94" t="str">
        <f t="shared" si="19"/>
        <v/>
      </c>
      <c r="M119" s="84" t="str">
        <f t="shared" si="20"/>
        <v/>
      </c>
      <c r="O119" s="36" t="str">
        <f t="shared" si="21"/>
        <v/>
      </c>
      <c r="P119" s="27" t="str">
        <f t="shared" si="22"/>
        <v/>
      </c>
      <c r="Q119" s="30" t="str">
        <f t="shared" si="23"/>
        <v/>
      </c>
      <c r="R119" s="19"/>
      <c r="S119" s="19" t="str">
        <f t="shared" si="24"/>
        <v/>
      </c>
      <c r="T119" s="19" t="str">
        <f t="shared" si="25"/>
        <v/>
      </c>
      <c r="U119" s="57" t="str">
        <f t="shared" si="26"/>
        <v/>
      </c>
      <c r="V119" s="57" t="str">
        <f t="shared" si="27"/>
        <v/>
      </c>
      <c r="W119" s="63" t="str">
        <f>IF(U119="","",IF(T120="",P$4-SUM(W$14:W118),IF((YEAR(O119)*1000+MONTH(O119))&gt;=P$9,IF((YEAR(O119)*1000+MONTH(O119))=P$9,ROUND(U119,0),ROUND(T119,0)),"")))</f>
        <v/>
      </c>
      <c r="X119" s="59" t="str">
        <f>IF(S$10="","",IF(P119&lt;=S$10,IF(P119=S$10,P$4-SUM(W$14:W118),W119),""))</f>
        <v/>
      </c>
    </row>
    <row r="120" spans="3:24" ht="15" hidden="1" customHeight="1" outlineLevel="1" x14ac:dyDescent="0.45">
      <c r="C120" s="124"/>
      <c r="D120" s="105"/>
      <c r="E120" s="131"/>
      <c r="F120" s="71"/>
      <c r="G120" s="78" t="str">
        <f t="shared" si="15"/>
        <v/>
      </c>
      <c r="H120" s="3">
        <f t="shared" si="16"/>
        <v>0</v>
      </c>
      <c r="I120" s="20" t="str">
        <f t="shared" si="17"/>
        <v/>
      </c>
      <c r="J120" s="94" t="str">
        <f t="shared" si="14"/>
        <v/>
      </c>
      <c r="K120" s="20" t="str">
        <f t="shared" si="18"/>
        <v/>
      </c>
      <c r="L120" s="94" t="str">
        <f t="shared" si="19"/>
        <v/>
      </c>
      <c r="M120" s="84" t="str">
        <f t="shared" si="20"/>
        <v/>
      </c>
      <c r="O120" s="36" t="str">
        <f t="shared" si="21"/>
        <v/>
      </c>
      <c r="P120" s="27" t="str">
        <f t="shared" si="22"/>
        <v/>
      </c>
      <c r="Q120" s="30" t="str">
        <f t="shared" si="23"/>
        <v/>
      </c>
      <c r="R120" s="19"/>
      <c r="S120" s="19" t="str">
        <f t="shared" si="24"/>
        <v/>
      </c>
      <c r="T120" s="19" t="str">
        <f t="shared" si="25"/>
        <v/>
      </c>
      <c r="U120" s="57" t="str">
        <f t="shared" si="26"/>
        <v/>
      </c>
      <c r="V120" s="57" t="str">
        <f t="shared" si="27"/>
        <v/>
      </c>
      <c r="W120" s="63" t="str">
        <f>IF(U120="","",IF(T121="",P$4-SUM(W$14:W119),IF((YEAR(O120)*1000+MONTH(O120))&gt;=P$9,IF((YEAR(O120)*1000+MONTH(O120))=P$9,ROUND(U120,0),ROUND(T120,0)),"")))</f>
        <v/>
      </c>
      <c r="X120" s="59" t="str">
        <f>IF(S$10="","",IF(P120&lt;=S$10,IF(P120=S$10,P$4-SUM(W$14:W119),W120),""))</f>
        <v/>
      </c>
    </row>
    <row r="121" spans="3:24" ht="15" hidden="1" customHeight="1" outlineLevel="1" x14ac:dyDescent="0.45">
      <c r="C121" s="124"/>
      <c r="D121" s="105"/>
      <c r="E121" s="131"/>
      <c r="F121" s="71"/>
      <c r="G121" s="78" t="str">
        <f t="shared" si="15"/>
        <v/>
      </c>
      <c r="H121" s="3">
        <f t="shared" si="16"/>
        <v>0</v>
      </c>
      <c r="I121" s="20" t="str">
        <f t="shared" si="17"/>
        <v/>
      </c>
      <c r="J121" s="94" t="str">
        <f t="shared" si="14"/>
        <v/>
      </c>
      <c r="K121" s="20" t="str">
        <f t="shared" si="18"/>
        <v/>
      </c>
      <c r="L121" s="94" t="str">
        <f t="shared" si="19"/>
        <v/>
      </c>
      <c r="M121" s="84" t="str">
        <f t="shared" si="20"/>
        <v/>
      </c>
      <c r="O121" s="36" t="str">
        <f t="shared" si="21"/>
        <v/>
      </c>
      <c r="P121" s="27" t="str">
        <f t="shared" si="22"/>
        <v/>
      </c>
      <c r="Q121" s="30" t="str">
        <f t="shared" si="23"/>
        <v/>
      </c>
      <c r="R121" s="19"/>
      <c r="S121" s="19" t="str">
        <f t="shared" si="24"/>
        <v/>
      </c>
      <c r="T121" s="19" t="str">
        <f t="shared" si="25"/>
        <v/>
      </c>
      <c r="U121" s="57" t="str">
        <f t="shared" si="26"/>
        <v/>
      </c>
      <c r="V121" s="57" t="str">
        <f t="shared" si="27"/>
        <v/>
      </c>
      <c r="W121" s="63" t="str">
        <f>IF(U121="","",IF(T122="",P$4-SUM(W$14:W120),IF((YEAR(O121)*1000+MONTH(O121))&gt;=P$9,IF((YEAR(O121)*1000+MONTH(O121))=P$9,ROUND(U121,0),ROUND(T121,0)),"")))</f>
        <v/>
      </c>
      <c r="X121" s="59" t="str">
        <f>IF(S$10="","",IF(P121&lt;=S$10,IF(P121=S$10,P$4-SUM(W$14:W120),W121),""))</f>
        <v/>
      </c>
    </row>
    <row r="122" spans="3:24" ht="15" hidden="1" customHeight="1" outlineLevel="1" x14ac:dyDescent="0.45">
      <c r="C122" s="124"/>
      <c r="D122" s="105"/>
      <c r="E122" s="131"/>
      <c r="F122" s="71"/>
      <c r="G122" s="78" t="str">
        <f t="shared" si="15"/>
        <v/>
      </c>
      <c r="H122" s="3">
        <f t="shared" si="16"/>
        <v>0</v>
      </c>
      <c r="I122" s="20" t="str">
        <f t="shared" si="17"/>
        <v/>
      </c>
      <c r="J122" s="94" t="str">
        <f t="shared" si="14"/>
        <v/>
      </c>
      <c r="K122" s="20" t="str">
        <f t="shared" si="18"/>
        <v/>
      </c>
      <c r="L122" s="94" t="str">
        <f t="shared" si="19"/>
        <v/>
      </c>
      <c r="M122" s="84" t="str">
        <f t="shared" si="20"/>
        <v/>
      </c>
      <c r="O122" s="36" t="str">
        <f t="shared" si="21"/>
        <v/>
      </c>
      <c r="P122" s="27" t="str">
        <f t="shared" si="22"/>
        <v/>
      </c>
      <c r="Q122" s="30" t="str">
        <f t="shared" si="23"/>
        <v/>
      </c>
      <c r="R122" s="19"/>
      <c r="S122" s="19" t="str">
        <f t="shared" si="24"/>
        <v/>
      </c>
      <c r="T122" s="19" t="str">
        <f t="shared" si="25"/>
        <v/>
      </c>
      <c r="U122" s="57" t="str">
        <f t="shared" si="26"/>
        <v/>
      </c>
      <c r="V122" s="57" t="str">
        <f t="shared" si="27"/>
        <v/>
      </c>
      <c r="W122" s="63" t="str">
        <f>IF(U122="","",IF(T123="",P$4-SUM(W$14:W121),IF((YEAR(O122)*1000+MONTH(O122))&gt;=P$9,IF((YEAR(O122)*1000+MONTH(O122))=P$9,ROUND(U122,0),ROUND(T122,0)),"")))</f>
        <v/>
      </c>
      <c r="X122" s="59" t="str">
        <f>IF(S$10="","",IF(P122&lt;=S$10,IF(P122=S$10,P$4-SUM(W$14:W121),W122),""))</f>
        <v/>
      </c>
    </row>
    <row r="123" spans="3:24" ht="15" hidden="1" customHeight="1" outlineLevel="1" x14ac:dyDescent="0.45">
      <c r="C123" s="124"/>
      <c r="D123" s="105"/>
      <c r="E123" s="131"/>
      <c r="F123" s="71"/>
      <c r="G123" s="78" t="str">
        <f t="shared" si="15"/>
        <v/>
      </c>
      <c r="H123" s="3">
        <f t="shared" si="16"/>
        <v>0</v>
      </c>
      <c r="I123" s="20" t="str">
        <f t="shared" si="17"/>
        <v/>
      </c>
      <c r="J123" s="94" t="str">
        <f t="shared" si="14"/>
        <v/>
      </c>
      <c r="K123" s="20" t="str">
        <f t="shared" si="18"/>
        <v/>
      </c>
      <c r="L123" s="94" t="str">
        <f t="shared" si="19"/>
        <v/>
      </c>
      <c r="M123" s="84" t="str">
        <f t="shared" si="20"/>
        <v/>
      </c>
      <c r="O123" s="36" t="str">
        <f t="shared" si="21"/>
        <v/>
      </c>
      <c r="P123" s="27" t="str">
        <f t="shared" si="22"/>
        <v/>
      </c>
      <c r="Q123" s="30" t="str">
        <f t="shared" si="23"/>
        <v/>
      </c>
      <c r="R123" s="19"/>
      <c r="S123" s="19" t="str">
        <f t="shared" si="24"/>
        <v/>
      </c>
      <c r="T123" s="19" t="str">
        <f t="shared" si="25"/>
        <v/>
      </c>
      <c r="U123" s="57" t="str">
        <f t="shared" si="26"/>
        <v/>
      </c>
      <c r="V123" s="57" t="str">
        <f t="shared" si="27"/>
        <v/>
      </c>
      <c r="W123" s="63" t="str">
        <f>IF(U123="","",IF(T124="",P$4-SUM(W$14:W122),IF((YEAR(O123)*1000+MONTH(O123))&gt;=P$9,IF((YEAR(O123)*1000+MONTH(O123))=P$9,ROUND(U123,0),ROUND(T123,0)),"")))</f>
        <v/>
      </c>
      <c r="X123" s="59" t="str">
        <f>IF(S$10="","",IF(P123&lt;=S$10,IF(P123=S$10,P$4-SUM(W$14:W122),W123),""))</f>
        <v/>
      </c>
    </row>
    <row r="124" spans="3:24" ht="15" hidden="1" customHeight="1" outlineLevel="1" x14ac:dyDescent="0.45">
      <c r="C124" s="124"/>
      <c r="D124" s="105"/>
      <c r="E124" s="131"/>
      <c r="F124" s="71"/>
      <c r="G124" s="78" t="str">
        <f t="shared" si="15"/>
        <v/>
      </c>
      <c r="H124" s="3">
        <f t="shared" si="16"/>
        <v>0</v>
      </c>
      <c r="I124" s="20" t="str">
        <f t="shared" si="17"/>
        <v/>
      </c>
      <c r="J124" s="94" t="str">
        <f t="shared" si="14"/>
        <v/>
      </c>
      <c r="K124" s="20" t="str">
        <f t="shared" si="18"/>
        <v/>
      </c>
      <c r="L124" s="94" t="str">
        <f t="shared" si="19"/>
        <v/>
      </c>
      <c r="M124" s="84" t="str">
        <f t="shared" si="20"/>
        <v/>
      </c>
      <c r="O124" s="36" t="str">
        <f t="shared" si="21"/>
        <v/>
      </c>
      <c r="P124" s="27" t="str">
        <f t="shared" si="22"/>
        <v/>
      </c>
      <c r="Q124" s="30" t="str">
        <f t="shared" si="23"/>
        <v/>
      </c>
      <c r="R124" s="19"/>
      <c r="S124" s="19" t="str">
        <f t="shared" si="24"/>
        <v/>
      </c>
      <c r="T124" s="19" t="str">
        <f t="shared" si="25"/>
        <v/>
      </c>
      <c r="U124" s="57" t="str">
        <f t="shared" si="26"/>
        <v/>
      </c>
      <c r="V124" s="57" t="str">
        <f t="shared" si="27"/>
        <v/>
      </c>
      <c r="W124" s="63" t="str">
        <f>IF(U124="","",IF(T125="",P$4-SUM(W$14:W123),IF((YEAR(O124)*1000+MONTH(O124))&gt;=P$9,IF((YEAR(O124)*1000+MONTH(O124))=P$9,ROUND(U124,0),ROUND(T124,0)),"")))</f>
        <v/>
      </c>
      <c r="X124" s="59" t="str">
        <f>IF(S$10="","",IF(P124&lt;=S$10,IF(P124=S$10,P$4-SUM(W$14:W123),W124),""))</f>
        <v/>
      </c>
    </row>
    <row r="125" spans="3:24" ht="15" hidden="1" customHeight="1" outlineLevel="1" x14ac:dyDescent="0.45">
      <c r="C125" s="124"/>
      <c r="D125" s="105"/>
      <c r="E125" s="131"/>
      <c r="F125" s="71"/>
      <c r="G125" s="78" t="str">
        <f t="shared" si="15"/>
        <v/>
      </c>
      <c r="H125" s="3">
        <f t="shared" si="16"/>
        <v>0</v>
      </c>
      <c r="I125" s="20" t="str">
        <f t="shared" si="17"/>
        <v/>
      </c>
      <c r="J125" s="94" t="str">
        <f t="shared" si="14"/>
        <v/>
      </c>
      <c r="K125" s="20" t="str">
        <f t="shared" si="18"/>
        <v/>
      </c>
      <c r="L125" s="94" t="str">
        <f t="shared" si="19"/>
        <v/>
      </c>
      <c r="M125" s="84" t="str">
        <f t="shared" si="20"/>
        <v/>
      </c>
      <c r="O125" s="36" t="str">
        <f t="shared" si="21"/>
        <v/>
      </c>
      <c r="P125" s="27" t="str">
        <f t="shared" si="22"/>
        <v/>
      </c>
      <c r="Q125" s="30" t="str">
        <f t="shared" si="23"/>
        <v/>
      </c>
      <c r="R125" s="19"/>
      <c r="S125" s="19" t="str">
        <f t="shared" si="24"/>
        <v/>
      </c>
      <c r="T125" s="19" t="str">
        <f t="shared" si="25"/>
        <v/>
      </c>
      <c r="U125" s="57" t="str">
        <f t="shared" si="26"/>
        <v/>
      </c>
      <c r="V125" s="57" t="str">
        <f t="shared" si="27"/>
        <v/>
      </c>
      <c r="W125" s="63" t="str">
        <f>IF(U125="","",IF(T126="",P$4-SUM(W$14:W124),IF((YEAR(O125)*1000+MONTH(O125))&gt;=P$9,IF((YEAR(O125)*1000+MONTH(O125))=P$9,ROUND(U125,0),ROUND(T125,0)),"")))</f>
        <v/>
      </c>
      <c r="X125" s="59" t="str">
        <f>IF(S$10="","",IF(P125&lt;=S$10,IF(P125=S$10,P$4-SUM(W$14:W124),W125),""))</f>
        <v/>
      </c>
    </row>
    <row r="126" spans="3:24" ht="15" hidden="1" customHeight="1" outlineLevel="1" x14ac:dyDescent="0.45">
      <c r="C126" s="124"/>
      <c r="D126" s="105"/>
      <c r="E126" s="131"/>
      <c r="F126" s="71"/>
      <c r="G126" s="78" t="str">
        <f t="shared" si="15"/>
        <v/>
      </c>
      <c r="H126" s="3">
        <f t="shared" si="16"/>
        <v>0</v>
      </c>
      <c r="I126" s="20" t="str">
        <f t="shared" si="17"/>
        <v/>
      </c>
      <c r="J126" s="94" t="str">
        <f t="shared" si="14"/>
        <v/>
      </c>
      <c r="K126" s="20" t="str">
        <f t="shared" si="18"/>
        <v/>
      </c>
      <c r="L126" s="94" t="str">
        <f t="shared" si="19"/>
        <v/>
      </c>
      <c r="M126" s="84" t="str">
        <f t="shared" si="20"/>
        <v/>
      </c>
      <c r="O126" s="36" t="str">
        <f t="shared" si="21"/>
        <v/>
      </c>
      <c r="P126" s="27" t="str">
        <f t="shared" si="22"/>
        <v/>
      </c>
      <c r="Q126" s="30" t="str">
        <f t="shared" si="23"/>
        <v/>
      </c>
      <c r="R126" s="19"/>
      <c r="S126" s="19" t="str">
        <f t="shared" si="24"/>
        <v/>
      </c>
      <c r="T126" s="19" t="str">
        <f t="shared" si="25"/>
        <v/>
      </c>
      <c r="U126" s="57" t="str">
        <f t="shared" si="26"/>
        <v/>
      </c>
      <c r="V126" s="57" t="str">
        <f t="shared" si="27"/>
        <v/>
      </c>
      <c r="W126" s="63" t="str">
        <f>IF(U126="","",IF(T127="",P$4-SUM(W$14:W125),IF((YEAR(O126)*1000+MONTH(O126))&gt;=P$9,IF((YEAR(O126)*1000+MONTH(O126))=P$9,ROUND(U126,0),ROUND(T126,0)),"")))</f>
        <v/>
      </c>
      <c r="X126" s="59" t="str">
        <f>IF(S$10="","",IF(P126&lt;=S$10,IF(P126=S$10,P$4-SUM(W$14:W125),W126),""))</f>
        <v/>
      </c>
    </row>
    <row r="127" spans="3:24" ht="15" hidden="1" customHeight="1" outlineLevel="1" x14ac:dyDescent="0.45">
      <c r="C127" s="124"/>
      <c r="D127" s="105"/>
      <c r="E127" s="131"/>
      <c r="F127" s="71"/>
      <c r="G127" s="78" t="str">
        <f t="shared" si="15"/>
        <v/>
      </c>
      <c r="H127" s="3">
        <f t="shared" si="16"/>
        <v>0</v>
      </c>
      <c r="I127" s="20" t="str">
        <f t="shared" si="17"/>
        <v/>
      </c>
      <c r="J127" s="94" t="str">
        <f t="shared" si="14"/>
        <v/>
      </c>
      <c r="K127" s="20" t="str">
        <f t="shared" si="18"/>
        <v/>
      </c>
      <c r="L127" s="94" t="str">
        <f t="shared" si="19"/>
        <v/>
      </c>
      <c r="M127" s="84" t="str">
        <f t="shared" si="20"/>
        <v/>
      </c>
      <c r="O127" s="36" t="str">
        <f t="shared" si="21"/>
        <v/>
      </c>
      <c r="P127" s="27" t="str">
        <f t="shared" si="22"/>
        <v/>
      </c>
      <c r="Q127" s="30" t="str">
        <f t="shared" si="23"/>
        <v/>
      </c>
      <c r="R127" s="19"/>
      <c r="S127" s="19" t="str">
        <f t="shared" si="24"/>
        <v/>
      </c>
      <c r="T127" s="19" t="str">
        <f t="shared" si="25"/>
        <v/>
      </c>
      <c r="U127" s="57" t="str">
        <f t="shared" si="26"/>
        <v/>
      </c>
      <c r="V127" s="57" t="str">
        <f t="shared" si="27"/>
        <v/>
      </c>
      <c r="W127" s="63" t="str">
        <f>IF(U127="","",IF(T128="",P$4-SUM(W$14:W126),IF((YEAR(O127)*1000+MONTH(O127))&gt;=P$9,IF((YEAR(O127)*1000+MONTH(O127))=P$9,ROUND(U127,0),ROUND(T127,0)),"")))</f>
        <v/>
      </c>
      <c r="X127" s="59" t="str">
        <f>IF(S$10="","",IF(P127&lt;=S$10,IF(P127=S$10,P$4-SUM(W$14:W126),W127),""))</f>
        <v/>
      </c>
    </row>
    <row r="128" spans="3:24" ht="15" hidden="1" customHeight="1" outlineLevel="1" x14ac:dyDescent="0.45">
      <c r="C128" s="124"/>
      <c r="D128" s="105"/>
      <c r="E128" s="131"/>
      <c r="F128" s="71"/>
      <c r="G128" s="78" t="str">
        <f t="shared" si="15"/>
        <v/>
      </c>
      <c r="H128" s="3">
        <f t="shared" si="16"/>
        <v>0</v>
      </c>
      <c r="I128" s="20" t="str">
        <f t="shared" si="17"/>
        <v/>
      </c>
      <c r="J128" s="94" t="str">
        <f t="shared" si="14"/>
        <v/>
      </c>
      <c r="K128" s="20" t="str">
        <f t="shared" si="18"/>
        <v/>
      </c>
      <c r="L128" s="94" t="str">
        <f t="shared" si="19"/>
        <v/>
      </c>
      <c r="M128" s="84" t="str">
        <f t="shared" si="20"/>
        <v/>
      </c>
      <c r="O128" s="36" t="str">
        <f t="shared" si="21"/>
        <v/>
      </c>
      <c r="P128" s="27" t="str">
        <f t="shared" si="22"/>
        <v/>
      </c>
      <c r="Q128" s="30" t="str">
        <f t="shared" si="23"/>
        <v/>
      </c>
      <c r="R128" s="19"/>
      <c r="S128" s="19" t="str">
        <f t="shared" si="24"/>
        <v/>
      </c>
      <c r="T128" s="19" t="str">
        <f t="shared" si="25"/>
        <v/>
      </c>
      <c r="U128" s="57" t="str">
        <f t="shared" si="26"/>
        <v/>
      </c>
      <c r="V128" s="57" t="str">
        <f t="shared" si="27"/>
        <v/>
      </c>
      <c r="W128" s="63" t="str">
        <f>IF(U128="","",IF(T129="",P$4-SUM(W$14:W127),IF((YEAR(O128)*1000+MONTH(O128))&gt;=P$9,IF((YEAR(O128)*1000+MONTH(O128))=P$9,ROUND(U128,0),ROUND(T128,0)),"")))</f>
        <v/>
      </c>
      <c r="X128" s="59" t="str">
        <f>IF(S$10="","",IF(P128&lt;=S$10,IF(P128=S$10,P$4-SUM(W$14:W127),W128),""))</f>
        <v/>
      </c>
    </row>
    <row r="129" spans="3:24" ht="15" hidden="1" customHeight="1" outlineLevel="1" x14ac:dyDescent="0.45">
      <c r="C129" s="124"/>
      <c r="D129" s="105"/>
      <c r="E129" s="131"/>
      <c r="F129" s="71"/>
      <c r="G129" s="78" t="str">
        <f t="shared" si="15"/>
        <v/>
      </c>
      <c r="H129" s="3">
        <f t="shared" si="16"/>
        <v>0</v>
      </c>
      <c r="I129" s="20" t="str">
        <f t="shared" si="17"/>
        <v/>
      </c>
      <c r="J129" s="94" t="str">
        <f t="shared" si="14"/>
        <v/>
      </c>
      <c r="K129" s="20" t="str">
        <f t="shared" si="18"/>
        <v/>
      </c>
      <c r="L129" s="94" t="str">
        <f t="shared" si="19"/>
        <v/>
      </c>
      <c r="M129" s="84" t="str">
        <f t="shared" si="20"/>
        <v/>
      </c>
      <c r="O129" s="36" t="str">
        <f t="shared" si="21"/>
        <v/>
      </c>
      <c r="P129" s="27" t="str">
        <f t="shared" si="22"/>
        <v/>
      </c>
      <c r="Q129" s="30" t="str">
        <f t="shared" si="23"/>
        <v/>
      </c>
      <c r="R129" s="19"/>
      <c r="S129" s="19" t="str">
        <f t="shared" si="24"/>
        <v/>
      </c>
      <c r="T129" s="19" t="str">
        <f t="shared" si="25"/>
        <v/>
      </c>
      <c r="U129" s="57" t="str">
        <f t="shared" si="26"/>
        <v/>
      </c>
      <c r="V129" s="57" t="str">
        <f t="shared" si="27"/>
        <v/>
      </c>
      <c r="W129" s="63" t="str">
        <f>IF(U129="","",IF(T130="",P$4-SUM(W$14:W128),IF((YEAR(O129)*1000+MONTH(O129))&gt;=P$9,IF((YEAR(O129)*1000+MONTH(O129))=P$9,ROUND(U129,0),ROUND(T129,0)),"")))</f>
        <v/>
      </c>
      <c r="X129" s="59" t="str">
        <f>IF(S$10="","",IF(P129&lt;=S$10,IF(P129=S$10,P$4-SUM(W$14:W128),W129),""))</f>
        <v/>
      </c>
    </row>
    <row r="130" spans="3:24" ht="15" hidden="1" customHeight="1" outlineLevel="1" x14ac:dyDescent="0.45">
      <c r="C130" s="124"/>
      <c r="D130" s="105"/>
      <c r="E130" s="131"/>
      <c r="F130" s="71"/>
      <c r="G130" s="78" t="str">
        <f t="shared" si="15"/>
        <v/>
      </c>
      <c r="H130" s="3">
        <f t="shared" si="16"/>
        <v>0</v>
      </c>
      <c r="I130" s="20" t="str">
        <f t="shared" si="17"/>
        <v/>
      </c>
      <c r="J130" s="94" t="str">
        <f t="shared" si="14"/>
        <v/>
      </c>
      <c r="K130" s="20" t="str">
        <f t="shared" si="18"/>
        <v/>
      </c>
      <c r="L130" s="94" t="str">
        <f t="shared" si="19"/>
        <v/>
      </c>
      <c r="M130" s="84" t="str">
        <f t="shared" si="20"/>
        <v/>
      </c>
      <c r="O130" s="36" t="str">
        <f t="shared" si="21"/>
        <v/>
      </c>
      <c r="P130" s="27" t="str">
        <f t="shared" si="22"/>
        <v/>
      </c>
      <c r="Q130" s="30" t="str">
        <f t="shared" si="23"/>
        <v/>
      </c>
      <c r="R130" s="19"/>
      <c r="S130" s="19" t="str">
        <f t="shared" si="24"/>
        <v/>
      </c>
      <c r="T130" s="19" t="str">
        <f t="shared" si="25"/>
        <v/>
      </c>
      <c r="U130" s="57" t="str">
        <f t="shared" si="26"/>
        <v/>
      </c>
      <c r="V130" s="57" t="str">
        <f t="shared" si="27"/>
        <v/>
      </c>
      <c r="W130" s="63" t="str">
        <f>IF(U130="","",IF(T131="",P$4-SUM(W$14:W129),IF((YEAR(O130)*1000+MONTH(O130))&gt;=P$9,IF((YEAR(O130)*1000+MONTH(O130))=P$9,ROUND(U130,0),ROUND(T130,0)),"")))</f>
        <v/>
      </c>
      <c r="X130" s="59" t="str">
        <f>IF(S$10="","",IF(P130&lt;=S$10,IF(P130=S$10,P$4-SUM(W$14:W129),W130),""))</f>
        <v/>
      </c>
    </row>
    <row r="131" spans="3:24" ht="15" hidden="1" customHeight="1" outlineLevel="1" x14ac:dyDescent="0.45">
      <c r="C131" s="124"/>
      <c r="D131" s="105"/>
      <c r="E131" s="131"/>
      <c r="F131" s="71"/>
      <c r="G131" s="78" t="str">
        <f t="shared" si="15"/>
        <v/>
      </c>
      <c r="H131" s="3">
        <f t="shared" si="16"/>
        <v>0</v>
      </c>
      <c r="I131" s="20" t="str">
        <f t="shared" si="17"/>
        <v/>
      </c>
      <c r="J131" s="94" t="str">
        <f t="shared" si="14"/>
        <v/>
      </c>
      <c r="K131" s="20" t="str">
        <f t="shared" si="18"/>
        <v/>
      </c>
      <c r="L131" s="94" t="str">
        <f t="shared" si="19"/>
        <v/>
      </c>
      <c r="M131" s="84" t="str">
        <f t="shared" si="20"/>
        <v/>
      </c>
      <c r="O131" s="36" t="str">
        <f t="shared" si="21"/>
        <v/>
      </c>
      <c r="P131" s="27" t="str">
        <f t="shared" si="22"/>
        <v/>
      </c>
      <c r="Q131" s="30" t="str">
        <f t="shared" si="23"/>
        <v/>
      </c>
      <c r="R131" s="19"/>
      <c r="S131" s="19" t="str">
        <f t="shared" si="24"/>
        <v/>
      </c>
      <c r="T131" s="19" t="str">
        <f t="shared" si="25"/>
        <v/>
      </c>
      <c r="U131" s="57" t="str">
        <f t="shared" si="26"/>
        <v/>
      </c>
      <c r="V131" s="57" t="str">
        <f t="shared" si="27"/>
        <v/>
      </c>
      <c r="W131" s="63" t="str">
        <f>IF(U131="","",IF(T132="",P$4-SUM(W$14:W130),IF((YEAR(O131)*1000+MONTH(O131))&gt;=P$9,IF((YEAR(O131)*1000+MONTH(O131))=P$9,ROUND(U131,0),ROUND(T131,0)),"")))</f>
        <v/>
      </c>
      <c r="X131" s="59" t="str">
        <f>IF(S$10="","",IF(P131&lt;=S$10,IF(P131=S$10,P$4-SUM(W$14:W130),W131),""))</f>
        <v/>
      </c>
    </row>
    <row r="132" spans="3:24" ht="15" hidden="1" customHeight="1" outlineLevel="1" x14ac:dyDescent="0.45">
      <c r="C132" s="124"/>
      <c r="D132" s="105"/>
      <c r="E132" s="131"/>
      <c r="F132" s="71"/>
      <c r="G132" s="78" t="str">
        <f t="shared" si="15"/>
        <v/>
      </c>
      <c r="H132" s="3">
        <f t="shared" si="16"/>
        <v>0</v>
      </c>
      <c r="I132" s="20" t="str">
        <f t="shared" si="17"/>
        <v/>
      </c>
      <c r="J132" s="94" t="str">
        <f t="shared" si="14"/>
        <v/>
      </c>
      <c r="K132" s="20" t="str">
        <f t="shared" si="18"/>
        <v/>
      </c>
      <c r="L132" s="94" t="str">
        <f t="shared" si="19"/>
        <v/>
      </c>
      <c r="M132" s="84" t="str">
        <f t="shared" si="20"/>
        <v/>
      </c>
      <c r="O132" s="36" t="str">
        <f t="shared" si="21"/>
        <v/>
      </c>
      <c r="P132" s="27" t="str">
        <f t="shared" si="22"/>
        <v/>
      </c>
      <c r="Q132" s="30" t="str">
        <f t="shared" si="23"/>
        <v/>
      </c>
      <c r="R132" s="19"/>
      <c r="S132" s="19" t="str">
        <f t="shared" si="24"/>
        <v/>
      </c>
      <c r="T132" s="19" t="str">
        <f t="shared" si="25"/>
        <v/>
      </c>
      <c r="U132" s="57" t="str">
        <f t="shared" si="26"/>
        <v/>
      </c>
      <c r="V132" s="57" t="str">
        <f t="shared" si="27"/>
        <v/>
      </c>
      <c r="W132" s="63" t="str">
        <f>IF(U132="","",IF(T133="",P$4-SUM(W$14:W131),IF((YEAR(O132)*1000+MONTH(O132))&gt;=P$9,IF((YEAR(O132)*1000+MONTH(O132))=P$9,ROUND(U132,0),ROUND(T132,0)),"")))</f>
        <v/>
      </c>
      <c r="X132" s="59" t="str">
        <f>IF(S$10="","",IF(P132&lt;=S$10,IF(P132=S$10,P$4-SUM(W$14:W131),W132),""))</f>
        <v/>
      </c>
    </row>
    <row r="133" spans="3:24" ht="15" hidden="1" customHeight="1" outlineLevel="1" x14ac:dyDescent="0.45">
      <c r="C133" s="124"/>
      <c r="D133" s="105"/>
      <c r="E133" s="131"/>
      <c r="F133" s="71"/>
      <c r="G133" s="78" t="str">
        <f t="shared" si="15"/>
        <v/>
      </c>
      <c r="H133" s="3">
        <f t="shared" si="16"/>
        <v>0</v>
      </c>
      <c r="I133" s="20" t="str">
        <f t="shared" si="17"/>
        <v/>
      </c>
      <c r="J133" s="94" t="str">
        <f t="shared" si="14"/>
        <v/>
      </c>
      <c r="K133" s="20" t="str">
        <f t="shared" si="18"/>
        <v/>
      </c>
      <c r="L133" s="94" t="str">
        <f t="shared" si="19"/>
        <v/>
      </c>
      <c r="M133" s="84" t="str">
        <f t="shared" si="20"/>
        <v/>
      </c>
      <c r="O133" s="36" t="str">
        <f t="shared" si="21"/>
        <v/>
      </c>
      <c r="P133" s="27" t="str">
        <f t="shared" si="22"/>
        <v/>
      </c>
      <c r="Q133" s="30" t="str">
        <f t="shared" si="23"/>
        <v/>
      </c>
      <c r="R133" s="19"/>
      <c r="S133" s="19" t="str">
        <f t="shared" si="24"/>
        <v/>
      </c>
      <c r="T133" s="19" t="str">
        <f t="shared" si="25"/>
        <v/>
      </c>
      <c r="U133" s="57" t="str">
        <f t="shared" si="26"/>
        <v/>
      </c>
      <c r="V133" s="57" t="str">
        <f t="shared" si="27"/>
        <v/>
      </c>
      <c r="W133" s="63" t="str">
        <f>IF(U133="","",IF(T134="",P$4-SUM(W$14:W132),IF((YEAR(O133)*1000+MONTH(O133))&gt;=P$9,IF((YEAR(O133)*1000+MONTH(O133))=P$9,ROUND(U133,0),ROUND(T133,0)),"")))</f>
        <v/>
      </c>
      <c r="X133" s="59" t="str">
        <f>IF(S$10="","",IF(P133&lt;=S$10,IF(P133=S$10,P$4-SUM(W$14:W132),W133),""))</f>
        <v/>
      </c>
    </row>
    <row r="134" spans="3:24" ht="15" hidden="1" customHeight="1" outlineLevel="1" x14ac:dyDescent="0.45">
      <c r="C134" s="124"/>
      <c r="D134" s="105"/>
      <c r="E134" s="131"/>
      <c r="F134" s="71"/>
      <c r="G134" s="78" t="str">
        <f t="shared" si="15"/>
        <v/>
      </c>
      <c r="H134" s="3">
        <f t="shared" si="16"/>
        <v>0</v>
      </c>
      <c r="I134" s="20" t="str">
        <f t="shared" si="17"/>
        <v/>
      </c>
      <c r="J134" s="94" t="str">
        <f t="shared" si="14"/>
        <v/>
      </c>
      <c r="K134" s="20" t="str">
        <f t="shared" si="18"/>
        <v/>
      </c>
      <c r="L134" s="94" t="str">
        <f t="shared" si="19"/>
        <v/>
      </c>
      <c r="M134" s="84" t="str">
        <f t="shared" si="20"/>
        <v/>
      </c>
      <c r="O134" s="36" t="str">
        <f t="shared" si="21"/>
        <v/>
      </c>
      <c r="P134" s="27" t="str">
        <f t="shared" si="22"/>
        <v/>
      </c>
      <c r="Q134" s="30" t="str">
        <f t="shared" si="23"/>
        <v/>
      </c>
      <c r="R134" s="19"/>
      <c r="S134" s="19" t="str">
        <f t="shared" si="24"/>
        <v/>
      </c>
      <c r="T134" s="19" t="str">
        <f t="shared" si="25"/>
        <v/>
      </c>
      <c r="U134" s="57" t="str">
        <f t="shared" si="26"/>
        <v/>
      </c>
      <c r="V134" s="57" t="str">
        <f t="shared" si="27"/>
        <v/>
      </c>
      <c r="W134" s="63" t="str">
        <f>IF(U134="","",IF(T135="",P$4-SUM(W$14:W133),IF((YEAR(O134)*1000+MONTH(O134))&gt;=P$9,IF((YEAR(O134)*1000+MONTH(O134))=P$9,ROUND(U134,0),ROUND(T134,0)),"")))</f>
        <v/>
      </c>
      <c r="X134" s="59" t="str">
        <f>IF(S$10="","",IF(P134&lt;=S$10,IF(P134=S$10,P$4-SUM(W$14:W133),W134),""))</f>
        <v/>
      </c>
    </row>
    <row r="135" spans="3:24" ht="15" hidden="1" customHeight="1" outlineLevel="1" x14ac:dyDescent="0.45">
      <c r="C135" s="124"/>
      <c r="D135" s="105"/>
      <c r="E135" s="131"/>
      <c r="F135" s="71"/>
      <c r="G135" s="78" t="str">
        <f t="shared" si="15"/>
        <v/>
      </c>
      <c r="H135" s="3">
        <f t="shared" si="16"/>
        <v>0</v>
      </c>
      <c r="I135" s="20" t="str">
        <f t="shared" si="17"/>
        <v/>
      </c>
      <c r="J135" s="94" t="str">
        <f t="shared" si="14"/>
        <v/>
      </c>
      <c r="K135" s="20" t="str">
        <f t="shared" si="18"/>
        <v/>
      </c>
      <c r="L135" s="94" t="str">
        <f t="shared" si="19"/>
        <v/>
      </c>
      <c r="M135" s="84" t="str">
        <f t="shared" si="20"/>
        <v/>
      </c>
      <c r="O135" s="36" t="str">
        <f t="shared" si="21"/>
        <v/>
      </c>
      <c r="P135" s="27" t="str">
        <f t="shared" si="22"/>
        <v/>
      </c>
      <c r="Q135" s="30" t="str">
        <f t="shared" si="23"/>
        <v/>
      </c>
      <c r="R135" s="19"/>
      <c r="S135" s="19" t="str">
        <f t="shared" si="24"/>
        <v/>
      </c>
      <c r="T135" s="19" t="str">
        <f t="shared" si="25"/>
        <v/>
      </c>
      <c r="U135" s="57" t="str">
        <f t="shared" si="26"/>
        <v/>
      </c>
      <c r="V135" s="57" t="str">
        <f t="shared" si="27"/>
        <v/>
      </c>
      <c r="W135" s="63" t="str">
        <f>IF(U135="","",IF(T136="",P$4-SUM(W$14:W134),IF((YEAR(O135)*1000+MONTH(O135))&gt;=P$9,IF((YEAR(O135)*1000+MONTH(O135))=P$9,ROUND(U135,0),ROUND(T135,0)),"")))</f>
        <v/>
      </c>
      <c r="X135" s="59" t="str">
        <f>IF(S$10="","",IF(P135&lt;=S$10,IF(P135=S$10,P$4-SUM(W$14:W134),W135),""))</f>
        <v/>
      </c>
    </row>
    <row r="136" spans="3:24" ht="15" hidden="1" customHeight="1" outlineLevel="1" x14ac:dyDescent="0.45">
      <c r="C136" s="124"/>
      <c r="D136" s="105"/>
      <c r="E136" s="131"/>
      <c r="F136" s="71"/>
      <c r="G136" s="78" t="str">
        <f t="shared" si="15"/>
        <v/>
      </c>
      <c r="H136" s="3">
        <f t="shared" si="16"/>
        <v>0</v>
      </c>
      <c r="I136" s="20" t="str">
        <f t="shared" si="17"/>
        <v/>
      </c>
      <c r="J136" s="94" t="str">
        <f t="shared" si="14"/>
        <v/>
      </c>
      <c r="K136" s="20" t="str">
        <f t="shared" si="18"/>
        <v/>
      </c>
      <c r="L136" s="94" t="str">
        <f t="shared" si="19"/>
        <v/>
      </c>
      <c r="M136" s="84" t="str">
        <f t="shared" si="20"/>
        <v/>
      </c>
      <c r="O136" s="36" t="str">
        <f t="shared" si="21"/>
        <v/>
      </c>
      <c r="P136" s="27" t="str">
        <f t="shared" si="22"/>
        <v/>
      </c>
      <c r="Q136" s="30" t="str">
        <f t="shared" si="23"/>
        <v/>
      </c>
      <c r="R136" s="19"/>
      <c r="S136" s="19" t="str">
        <f t="shared" si="24"/>
        <v/>
      </c>
      <c r="T136" s="19" t="str">
        <f t="shared" si="25"/>
        <v/>
      </c>
      <c r="U136" s="57" t="str">
        <f t="shared" si="26"/>
        <v/>
      </c>
      <c r="V136" s="57" t="str">
        <f t="shared" si="27"/>
        <v/>
      </c>
      <c r="W136" s="63" t="str">
        <f>IF(U136="","",IF(T137="",P$4-SUM(W$14:W135),IF((YEAR(O136)*1000+MONTH(O136))&gt;=P$9,IF((YEAR(O136)*1000+MONTH(O136))=P$9,ROUND(U136,0),ROUND(T136,0)),"")))</f>
        <v/>
      </c>
      <c r="X136" s="59" t="str">
        <f>IF(S$10="","",IF(P136&lt;=S$10,IF(P136=S$10,P$4-SUM(W$14:W135),W136),""))</f>
        <v/>
      </c>
    </row>
    <row r="137" spans="3:24" ht="15" hidden="1" customHeight="1" outlineLevel="1" x14ac:dyDescent="0.45">
      <c r="C137" s="124"/>
      <c r="D137" s="105"/>
      <c r="E137" s="131"/>
      <c r="F137" s="71"/>
      <c r="G137" s="78" t="str">
        <f t="shared" si="15"/>
        <v/>
      </c>
      <c r="H137" s="3">
        <f t="shared" si="16"/>
        <v>0</v>
      </c>
      <c r="I137" s="20" t="str">
        <f t="shared" si="17"/>
        <v/>
      </c>
      <c r="J137" s="94" t="str">
        <f t="shared" si="14"/>
        <v/>
      </c>
      <c r="K137" s="20" t="str">
        <f t="shared" si="18"/>
        <v/>
      </c>
      <c r="L137" s="94" t="str">
        <f t="shared" si="19"/>
        <v/>
      </c>
      <c r="M137" s="84" t="str">
        <f t="shared" si="20"/>
        <v/>
      </c>
      <c r="O137" s="36" t="str">
        <f t="shared" si="21"/>
        <v/>
      </c>
      <c r="P137" s="27" t="str">
        <f t="shared" si="22"/>
        <v/>
      </c>
      <c r="Q137" s="30" t="str">
        <f t="shared" si="23"/>
        <v/>
      </c>
      <c r="R137" s="19"/>
      <c r="S137" s="19" t="str">
        <f t="shared" si="24"/>
        <v/>
      </c>
      <c r="T137" s="19" t="str">
        <f t="shared" si="25"/>
        <v/>
      </c>
      <c r="U137" s="57" t="str">
        <f t="shared" si="26"/>
        <v/>
      </c>
      <c r="V137" s="57" t="str">
        <f t="shared" si="27"/>
        <v/>
      </c>
      <c r="W137" s="63" t="str">
        <f>IF(U137="","",IF(T138="",P$4-SUM(W$14:W136),IF((YEAR(O137)*1000+MONTH(O137))&gt;=P$9,IF((YEAR(O137)*1000+MONTH(O137))=P$9,ROUND(U137,0),ROUND(T137,0)),"")))</f>
        <v/>
      </c>
      <c r="X137" s="59" t="str">
        <f>IF(S$10="","",IF(P137&lt;=S$10,IF(P137=S$10,P$4-SUM(W$14:W136),W137),""))</f>
        <v/>
      </c>
    </row>
    <row r="138" spans="3:24" ht="15" hidden="1" customHeight="1" outlineLevel="1" x14ac:dyDescent="0.45">
      <c r="C138" s="124"/>
      <c r="D138" s="105"/>
      <c r="E138" s="131"/>
      <c r="F138" s="71"/>
      <c r="G138" s="78" t="str">
        <f t="shared" si="15"/>
        <v/>
      </c>
      <c r="H138" s="3">
        <f t="shared" si="16"/>
        <v>0</v>
      </c>
      <c r="I138" s="20" t="str">
        <f t="shared" si="17"/>
        <v/>
      </c>
      <c r="J138" s="94" t="str">
        <f t="shared" si="14"/>
        <v/>
      </c>
      <c r="K138" s="20" t="str">
        <f t="shared" si="18"/>
        <v/>
      </c>
      <c r="L138" s="94" t="str">
        <f t="shared" si="19"/>
        <v/>
      </c>
      <c r="M138" s="84" t="str">
        <f t="shared" si="20"/>
        <v/>
      </c>
      <c r="O138" s="36" t="str">
        <f t="shared" si="21"/>
        <v/>
      </c>
      <c r="P138" s="27" t="str">
        <f t="shared" si="22"/>
        <v/>
      </c>
      <c r="Q138" s="30" t="str">
        <f t="shared" si="23"/>
        <v/>
      </c>
      <c r="R138" s="19"/>
      <c r="S138" s="19" t="str">
        <f t="shared" si="24"/>
        <v/>
      </c>
      <c r="T138" s="19" t="str">
        <f t="shared" si="25"/>
        <v/>
      </c>
      <c r="U138" s="57" t="str">
        <f t="shared" si="26"/>
        <v/>
      </c>
      <c r="V138" s="57" t="str">
        <f t="shared" si="27"/>
        <v/>
      </c>
      <c r="W138" s="63" t="str">
        <f>IF(U138="","",IF(T139="",P$4-SUM(W$14:W137),IF((YEAR(O138)*1000+MONTH(O138))&gt;=P$9,IF((YEAR(O138)*1000+MONTH(O138))=P$9,ROUND(U138,0),ROUND(T138,0)),"")))</f>
        <v/>
      </c>
      <c r="X138" s="59" t="str">
        <f>IF(S$10="","",IF(P138&lt;=S$10,IF(P138=S$10,P$4-SUM(W$14:W137),W138),""))</f>
        <v/>
      </c>
    </row>
    <row r="139" spans="3:24" ht="15" hidden="1" customHeight="1" outlineLevel="1" x14ac:dyDescent="0.45">
      <c r="C139" s="124"/>
      <c r="D139" s="105"/>
      <c r="E139" s="131"/>
      <c r="F139" s="71"/>
      <c r="G139" s="78" t="str">
        <f t="shared" si="15"/>
        <v/>
      </c>
      <c r="H139" s="3">
        <f t="shared" si="16"/>
        <v>0</v>
      </c>
      <c r="I139" s="20" t="str">
        <f t="shared" si="17"/>
        <v/>
      </c>
      <c r="J139" s="94" t="str">
        <f t="shared" si="14"/>
        <v/>
      </c>
      <c r="K139" s="20" t="str">
        <f t="shared" si="18"/>
        <v/>
      </c>
      <c r="L139" s="94" t="str">
        <f t="shared" si="19"/>
        <v/>
      </c>
      <c r="M139" s="84" t="str">
        <f t="shared" si="20"/>
        <v/>
      </c>
      <c r="O139" s="36" t="str">
        <f t="shared" si="21"/>
        <v/>
      </c>
      <c r="P139" s="27" t="str">
        <f t="shared" si="22"/>
        <v/>
      </c>
      <c r="Q139" s="30" t="str">
        <f t="shared" si="23"/>
        <v/>
      </c>
      <c r="R139" s="19"/>
      <c r="S139" s="19" t="str">
        <f t="shared" si="24"/>
        <v/>
      </c>
      <c r="T139" s="19" t="str">
        <f t="shared" si="25"/>
        <v/>
      </c>
      <c r="U139" s="57" t="str">
        <f t="shared" si="26"/>
        <v/>
      </c>
      <c r="V139" s="57" t="str">
        <f t="shared" si="27"/>
        <v/>
      </c>
      <c r="W139" s="63" t="str">
        <f>IF(U139="","",IF(T140="",P$4-SUM(W$14:W138),IF((YEAR(O139)*1000+MONTH(O139))&gt;=P$9,IF((YEAR(O139)*1000+MONTH(O139))=P$9,ROUND(U139,0),ROUND(T139,0)),"")))</f>
        <v/>
      </c>
      <c r="X139" s="59" t="str">
        <f>IF(S$10="","",IF(P139&lt;=S$10,IF(P139=S$10,P$4-SUM(W$14:W138),W139),""))</f>
        <v/>
      </c>
    </row>
    <row r="140" spans="3:24" ht="15" hidden="1" customHeight="1" outlineLevel="1" x14ac:dyDescent="0.45">
      <c r="C140" s="124"/>
      <c r="D140" s="105"/>
      <c r="E140" s="131"/>
      <c r="F140" s="71"/>
      <c r="G140" s="78" t="str">
        <f t="shared" si="15"/>
        <v/>
      </c>
      <c r="H140" s="3">
        <f t="shared" si="16"/>
        <v>0</v>
      </c>
      <c r="I140" s="20" t="str">
        <f t="shared" si="17"/>
        <v/>
      </c>
      <c r="J140" s="94" t="str">
        <f t="shared" si="14"/>
        <v/>
      </c>
      <c r="K140" s="20" t="str">
        <f t="shared" si="18"/>
        <v/>
      </c>
      <c r="L140" s="94" t="str">
        <f t="shared" si="19"/>
        <v/>
      </c>
      <c r="M140" s="84" t="str">
        <f t="shared" si="20"/>
        <v/>
      </c>
      <c r="O140" s="36" t="str">
        <f t="shared" si="21"/>
        <v/>
      </c>
      <c r="P140" s="27" t="str">
        <f t="shared" si="22"/>
        <v/>
      </c>
      <c r="Q140" s="30" t="str">
        <f t="shared" si="23"/>
        <v/>
      </c>
      <c r="R140" s="19"/>
      <c r="S140" s="19" t="str">
        <f t="shared" si="24"/>
        <v/>
      </c>
      <c r="T140" s="19" t="str">
        <f t="shared" si="25"/>
        <v/>
      </c>
      <c r="U140" s="57" t="str">
        <f t="shared" si="26"/>
        <v/>
      </c>
      <c r="V140" s="57" t="str">
        <f t="shared" si="27"/>
        <v/>
      </c>
      <c r="W140" s="63" t="str">
        <f>IF(U140="","",IF(T141="",P$4-SUM(W$14:W139),IF((YEAR(O140)*1000+MONTH(O140))&gt;=P$9,IF((YEAR(O140)*1000+MONTH(O140))=P$9,ROUND(U140,0),ROUND(T140,0)),"")))</f>
        <v/>
      </c>
      <c r="X140" s="59" t="str">
        <f>IF(S$10="","",IF(P140&lt;=S$10,IF(P140=S$10,P$4-SUM(W$14:W139),W140),""))</f>
        <v/>
      </c>
    </row>
    <row r="141" spans="3:24" ht="15" hidden="1" customHeight="1" outlineLevel="1" x14ac:dyDescent="0.45">
      <c r="C141" s="124"/>
      <c r="D141" s="105"/>
      <c r="E141" s="131"/>
      <c r="F141" s="71"/>
      <c r="G141" s="78" t="str">
        <f t="shared" si="15"/>
        <v/>
      </c>
      <c r="H141" s="3">
        <f t="shared" si="16"/>
        <v>0</v>
      </c>
      <c r="I141" s="20" t="str">
        <f t="shared" si="17"/>
        <v/>
      </c>
      <c r="J141" s="94" t="str">
        <f t="shared" si="14"/>
        <v/>
      </c>
      <c r="K141" s="20" t="str">
        <f t="shared" si="18"/>
        <v/>
      </c>
      <c r="L141" s="94" t="str">
        <f t="shared" si="19"/>
        <v/>
      </c>
      <c r="M141" s="84" t="str">
        <f t="shared" si="20"/>
        <v/>
      </c>
      <c r="O141" s="36" t="str">
        <f t="shared" si="21"/>
        <v/>
      </c>
      <c r="P141" s="27" t="str">
        <f t="shared" si="22"/>
        <v/>
      </c>
      <c r="Q141" s="30" t="str">
        <f t="shared" si="23"/>
        <v/>
      </c>
      <c r="R141" s="19"/>
      <c r="S141" s="19" t="str">
        <f t="shared" si="24"/>
        <v/>
      </c>
      <c r="T141" s="19" t="str">
        <f t="shared" si="25"/>
        <v/>
      </c>
      <c r="U141" s="57" t="str">
        <f t="shared" si="26"/>
        <v/>
      </c>
      <c r="V141" s="57" t="str">
        <f t="shared" si="27"/>
        <v/>
      </c>
      <c r="W141" s="63" t="str">
        <f>IF(U141="","",IF(T142="",P$4-SUM(W$14:W140),IF((YEAR(O141)*1000+MONTH(O141))&gt;=P$9,IF((YEAR(O141)*1000+MONTH(O141))=P$9,ROUND(U141,0),ROUND(T141,0)),"")))</f>
        <v/>
      </c>
      <c r="X141" s="59" t="str">
        <f>IF(S$10="","",IF(P141&lt;=S$10,IF(P141=S$10,P$4-SUM(W$14:W140),W141),""))</f>
        <v/>
      </c>
    </row>
    <row r="142" spans="3:24" ht="15" hidden="1" customHeight="1" outlineLevel="1" x14ac:dyDescent="0.45">
      <c r="C142" s="124"/>
      <c r="D142" s="105"/>
      <c r="E142" s="131"/>
      <c r="F142" s="71"/>
      <c r="G142" s="78" t="str">
        <f t="shared" si="15"/>
        <v/>
      </c>
      <c r="H142" s="3">
        <f t="shared" si="16"/>
        <v>0</v>
      </c>
      <c r="I142" s="20" t="str">
        <f t="shared" si="17"/>
        <v/>
      </c>
      <c r="J142" s="94" t="str">
        <f t="shared" si="14"/>
        <v/>
      </c>
      <c r="K142" s="20" t="str">
        <f t="shared" si="18"/>
        <v/>
      </c>
      <c r="L142" s="94" t="str">
        <f t="shared" si="19"/>
        <v/>
      </c>
      <c r="M142" s="84" t="str">
        <f t="shared" si="20"/>
        <v/>
      </c>
      <c r="O142" s="36" t="str">
        <f t="shared" si="21"/>
        <v/>
      </c>
      <c r="P142" s="27" t="str">
        <f t="shared" si="22"/>
        <v/>
      </c>
      <c r="Q142" s="30" t="str">
        <f t="shared" si="23"/>
        <v/>
      </c>
      <c r="R142" s="19"/>
      <c r="S142" s="19" t="str">
        <f t="shared" si="24"/>
        <v/>
      </c>
      <c r="T142" s="19" t="str">
        <f t="shared" si="25"/>
        <v/>
      </c>
      <c r="U142" s="57" t="str">
        <f t="shared" si="26"/>
        <v/>
      </c>
      <c r="V142" s="57" t="str">
        <f t="shared" si="27"/>
        <v/>
      </c>
      <c r="W142" s="63" t="str">
        <f>IF(U142="","",IF(T143="",P$4-SUM(W$14:W141),IF((YEAR(O142)*1000+MONTH(O142))&gt;=P$9,IF((YEAR(O142)*1000+MONTH(O142))=P$9,ROUND(U142,0),ROUND(T142,0)),"")))</f>
        <v/>
      </c>
      <c r="X142" s="59" t="str">
        <f>IF(S$10="","",IF(P142&lt;=S$10,IF(P142=S$10,P$4-SUM(W$14:W141),W142),""))</f>
        <v/>
      </c>
    </row>
    <row r="143" spans="3:24" ht="15" hidden="1" customHeight="1" outlineLevel="1" x14ac:dyDescent="0.45">
      <c r="C143" s="124"/>
      <c r="D143" s="105"/>
      <c r="E143" s="131"/>
      <c r="F143" s="71"/>
      <c r="G143" s="78" t="str">
        <f t="shared" si="15"/>
        <v/>
      </c>
      <c r="H143" s="3">
        <f t="shared" si="16"/>
        <v>0</v>
      </c>
      <c r="I143" s="20" t="str">
        <f t="shared" si="17"/>
        <v/>
      </c>
      <c r="J143" s="94" t="str">
        <f t="shared" si="14"/>
        <v/>
      </c>
      <c r="K143" s="20" t="str">
        <f t="shared" si="18"/>
        <v/>
      </c>
      <c r="L143" s="94" t="str">
        <f t="shared" si="19"/>
        <v/>
      </c>
      <c r="M143" s="84" t="str">
        <f t="shared" si="20"/>
        <v/>
      </c>
      <c r="O143" s="36" t="str">
        <f t="shared" si="21"/>
        <v/>
      </c>
      <c r="P143" s="27" t="str">
        <f t="shared" si="22"/>
        <v/>
      </c>
      <c r="Q143" s="30" t="str">
        <f t="shared" si="23"/>
        <v/>
      </c>
      <c r="R143" s="19"/>
      <c r="S143" s="19" t="str">
        <f t="shared" si="24"/>
        <v/>
      </c>
      <c r="T143" s="19" t="str">
        <f t="shared" si="25"/>
        <v/>
      </c>
      <c r="U143" s="57" t="str">
        <f t="shared" si="26"/>
        <v/>
      </c>
      <c r="V143" s="57" t="str">
        <f t="shared" si="27"/>
        <v/>
      </c>
      <c r="W143" s="63" t="str">
        <f>IF(U143="","",IF(T144="",P$4-SUM(W$14:W142),IF((YEAR(O143)*1000+MONTH(O143))&gt;=P$9,IF((YEAR(O143)*1000+MONTH(O143))=P$9,ROUND(U143,0),ROUND(T143,0)),"")))</f>
        <v/>
      </c>
      <c r="X143" s="59" t="str">
        <f>IF(S$10="","",IF(P143&lt;=S$10,IF(P143=S$10,P$4-SUM(W$14:W142),W143),""))</f>
        <v/>
      </c>
    </row>
    <row r="144" spans="3:24" ht="15" hidden="1" customHeight="1" outlineLevel="1" x14ac:dyDescent="0.45">
      <c r="C144" s="124"/>
      <c r="D144" s="105"/>
      <c r="E144" s="131"/>
      <c r="F144" s="71"/>
      <c r="G144" s="78" t="str">
        <f t="shared" si="15"/>
        <v/>
      </c>
      <c r="H144" s="3">
        <f t="shared" si="16"/>
        <v>0</v>
      </c>
      <c r="I144" s="20" t="str">
        <f t="shared" si="17"/>
        <v/>
      </c>
      <c r="J144" s="94" t="str">
        <f t="shared" ref="J144:J207" si="28">IF(F144="","",-F144)</f>
        <v/>
      </c>
      <c r="K144" s="20" t="str">
        <f t="shared" si="18"/>
        <v/>
      </c>
      <c r="L144" s="94" t="str">
        <f t="shared" si="19"/>
        <v/>
      </c>
      <c r="M144" s="84" t="str">
        <f t="shared" si="20"/>
        <v/>
      </c>
      <c r="O144" s="36" t="str">
        <f t="shared" si="21"/>
        <v/>
      </c>
      <c r="P144" s="27" t="str">
        <f t="shared" si="22"/>
        <v/>
      </c>
      <c r="Q144" s="30" t="str">
        <f t="shared" si="23"/>
        <v/>
      </c>
      <c r="R144" s="19"/>
      <c r="S144" s="19" t="str">
        <f t="shared" si="24"/>
        <v/>
      </c>
      <c r="T144" s="19" t="str">
        <f t="shared" si="25"/>
        <v/>
      </c>
      <c r="U144" s="57" t="str">
        <f t="shared" si="26"/>
        <v/>
      </c>
      <c r="V144" s="57" t="str">
        <f t="shared" si="27"/>
        <v/>
      </c>
      <c r="W144" s="63" t="str">
        <f>IF(U144="","",IF(T145="",P$4-SUM(W$14:W143),IF((YEAR(O144)*1000+MONTH(O144))&gt;=P$9,IF((YEAR(O144)*1000+MONTH(O144))=P$9,ROUND(U144,0),ROUND(T144,0)),"")))</f>
        <v/>
      </c>
      <c r="X144" s="59" t="str">
        <f>IF(S$10="","",IF(P144&lt;=S$10,IF(P144=S$10,P$4-SUM(W$14:W143),W144),""))</f>
        <v/>
      </c>
    </row>
    <row r="145" spans="3:24" ht="15" hidden="1" customHeight="1" outlineLevel="1" x14ac:dyDescent="0.45">
      <c r="C145" s="124"/>
      <c r="D145" s="105"/>
      <c r="E145" s="131"/>
      <c r="F145" s="71"/>
      <c r="G145" s="78" t="str">
        <f t="shared" ref="G145:G208" si="29">IF(D145&lt;0,-D145-F145,IF(F145="","",-F145))</f>
        <v/>
      </c>
      <c r="H145" s="3">
        <f t="shared" ref="H145:H208" si="30">IF(D145&gt;0,D145,0)</f>
        <v>0</v>
      </c>
      <c r="I145" s="20" t="str">
        <f t="shared" ref="I145:I208" si="31">IF(D145="","",-D145)</f>
        <v/>
      </c>
      <c r="J145" s="94" t="str">
        <f t="shared" si="28"/>
        <v/>
      </c>
      <c r="K145" s="20" t="str">
        <f t="shared" ref="K145:K208" si="32">IF(AND(I145&gt;0,I145&lt;&gt;""),-I145-J145,IF(J145="","",-J145))</f>
        <v/>
      </c>
      <c r="L145" s="94" t="str">
        <f t="shared" ref="L145:L208" si="33">IF(C145="","",+C145)</f>
        <v/>
      </c>
      <c r="M145" s="84" t="str">
        <f t="shared" ref="M145:M208" si="34">IF(L145="","",-L145)</f>
        <v/>
      </c>
      <c r="O145" s="36" t="str">
        <f t="shared" ref="O145:O208" si="35">IF(O144="","",IF(EOMONTH(O144,0)+1&gt;P$8,"",EOMONTH(O144,0)+1))</f>
        <v/>
      </c>
      <c r="P145" s="27" t="str">
        <f t="shared" ref="P145:P208" si="36">IF(O145="","",IF(O145&lt;=P$8,IF((YEAR(O145)*1000+MONTH(O145))&lt;P$9,P$9,(YEAR(O145)*1000+MONTH(O145))),""))</f>
        <v/>
      </c>
      <c r="Q145" s="30" t="str">
        <f t="shared" ref="Q145:Q208" si="37">IF(P145&lt;&gt;"",IF(EOMONTH(O145,0)&lt;&gt;EOMONTH(P$8,0),DAY(EOMONTH(O145,0)-DAY(O145)+1)/DAY(EOMONTH(O145,0)),IF(DAY(EOMONTH(P$7,0))-DAY(P$7)+1+DAY(P$8)=DAY(EOMONTH(P$7,0)),1-Q$15,DAY(P$8)/DAY(EOMONTH(P$8,0)))),"")</f>
        <v/>
      </c>
      <c r="R145" s="19"/>
      <c r="S145" s="19" t="str">
        <f t="shared" ref="S145:S208" si="38">IF(O145="","",IF(P145&lt;=S$10,IF(P145=S$10,R$15,-R145),""))</f>
        <v/>
      </c>
      <c r="T145" s="19" t="str">
        <f t="shared" ref="T145:T208" si="39">IF(P145="","",IF(ISERROR(S$11*Q145),0,(S$11)*Q145))</f>
        <v/>
      </c>
      <c r="U145" s="57" t="str">
        <f t="shared" ref="U145:U208" si="40">IF(Q145="","",IF(Q145&gt;0,T145+U144,-U144))</f>
        <v/>
      </c>
      <c r="V145" s="57" t="str">
        <f t="shared" ref="V145:V208" si="41">IF(S145="","",IF(P145&lt;S$10,T145+U144,-V144))</f>
        <v/>
      </c>
      <c r="W145" s="63" t="str">
        <f>IF(U145="","",IF(T146="",P$4-SUM(W$14:W144),IF((YEAR(O145)*1000+MONTH(O145))&gt;=P$9,IF((YEAR(O145)*1000+MONTH(O145))=P$9,ROUND(U145,0),ROUND(T145,0)),"")))</f>
        <v/>
      </c>
      <c r="X145" s="59" t="str">
        <f>IF(S$10="","",IF(P145&lt;=S$10,IF(P145=S$10,P$4-SUM(W$14:W144),W145),""))</f>
        <v/>
      </c>
    </row>
    <row r="146" spans="3:24" ht="15" hidden="1" customHeight="1" outlineLevel="1" x14ac:dyDescent="0.45">
      <c r="C146" s="124"/>
      <c r="D146" s="105"/>
      <c r="E146" s="131"/>
      <c r="F146" s="71"/>
      <c r="G146" s="78" t="str">
        <f t="shared" si="29"/>
        <v/>
      </c>
      <c r="H146" s="3">
        <f t="shared" si="30"/>
        <v>0</v>
      </c>
      <c r="I146" s="20" t="str">
        <f t="shared" si="31"/>
        <v/>
      </c>
      <c r="J146" s="94" t="str">
        <f t="shared" si="28"/>
        <v/>
      </c>
      <c r="K146" s="20" t="str">
        <f t="shared" si="32"/>
        <v/>
      </c>
      <c r="L146" s="94" t="str">
        <f t="shared" si="33"/>
        <v/>
      </c>
      <c r="M146" s="84" t="str">
        <f t="shared" si="34"/>
        <v/>
      </c>
      <c r="O146" s="36" t="str">
        <f t="shared" si="35"/>
        <v/>
      </c>
      <c r="P146" s="27" t="str">
        <f t="shared" si="36"/>
        <v/>
      </c>
      <c r="Q146" s="30" t="str">
        <f t="shared" si="37"/>
        <v/>
      </c>
      <c r="R146" s="19"/>
      <c r="S146" s="19" t="str">
        <f t="shared" si="38"/>
        <v/>
      </c>
      <c r="T146" s="19" t="str">
        <f t="shared" si="39"/>
        <v/>
      </c>
      <c r="U146" s="57" t="str">
        <f t="shared" si="40"/>
        <v/>
      </c>
      <c r="V146" s="57" t="str">
        <f t="shared" si="41"/>
        <v/>
      </c>
      <c r="W146" s="63" t="str">
        <f>IF(U146="","",IF(T147="",P$4-SUM(W$14:W145),IF((YEAR(O146)*1000+MONTH(O146))&gt;=P$9,IF((YEAR(O146)*1000+MONTH(O146))=P$9,ROUND(U146,0),ROUND(T146,0)),"")))</f>
        <v/>
      </c>
      <c r="X146" s="59" t="str">
        <f>IF(S$10="","",IF(P146&lt;=S$10,IF(P146=S$10,P$4-SUM(W$14:W145),W146),""))</f>
        <v/>
      </c>
    </row>
    <row r="147" spans="3:24" ht="15" hidden="1" customHeight="1" outlineLevel="1" x14ac:dyDescent="0.45">
      <c r="C147" s="124"/>
      <c r="D147" s="105"/>
      <c r="E147" s="131"/>
      <c r="F147" s="71"/>
      <c r="G147" s="78" t="str">
        <f t="shared" si="29"/>
        <v/>
      </c>
      <c r="H147" s="3">
        <f t="shared" si="30"/>
        <v>0</v>
      </c>
      <c r="I147" s="20" t="str">
        <f t="shared" si="31"/>
        <v/>
      </c>
      <c r="J147" s="94" t="str">
        <f t="shared" si="28"/>
        <v/>
      </c>
      <c r="K147" s="20" t="str">
        <f t="shared" si="32"/>
        <v/>
      </c>
      <c r="L147" s="94" t="str">
        <f t="shared" si="33"/>
        <v/>
      </c>
      <c r="M147" s="84" t="str">
        <f t="shared" si="34"/>
        <v/>
      </c>
      <c r="O147" s="36" t="str">
        <f t="shared" si="35"/>
        <v/>
      </c>
      <c r="P147" s="27" t="str">
        <f t="shared" si="36"/>
        <v/>
      </c>
      <c r="Q147" s="30" t="str">
        <f t="shared" si="37"/>
        <v/>
      </c>
      <c r="R147" s="19"/>
      <c r="S147" s="19" t="str">
        <f t="shared" si="38"/>
        <v/>
      </c>
      <c r="T147" s="19" t="str">
        <f t="shared" si="39"/>
        <v/>
      </c>
      <c r="U147" s="57" t="str">
        <f t="shared" si="40"/>
        <v/>
      </c>
      <c r="V147" s="57" t="str">
        <f t="shared" si="41"/>
        <v/>
      </c>
      <c r="W147" s="63" t="str">
        <f>IF(U147="","",IF(T148="",P$4-SUM(W$14:W146),IF((YEAR(O147)*1000+MONTH(O147))&gt;=P$9,IF((YEAR(O147)*1000+MONTH(O147))=P$9,ROUND(U147,0),ROUND(T147,0)),"")))</f>
        <v/>
      </c>
      <c r="X147" s="59" t="str">
        <f>IF(S$10="","",IF(P147&lt;=S$10,IF(P147=S$10,P$4-SUM(W$14:W146),W147),""))</f>
        <v/>
      </c>
    </row>
    <row r="148" spans="3:24" ht="15" hidden="1" customHeight="1" outlineLevel="1" x14ac:dyDescent="0.45">
      <c r="C148" s="124"/>
      <c r="D148" s="105"/>
      <c r="E148" s="131"/>
      <c r="F148" s="71"/>
      <c r="G148" s="78" t="str">
        <f t="shared" si="29"/>
        <v/>
      </c>
      <c r="H148" s="3">
        <f t="shared" si="30"/>
        <v>0</v>
      </c>
      <c r="I148" s="20" t="str">
        <f t="shared" si="31"/>
        <v/>
      </c>
      <c r="J148" s="94" t="str">
        <f t="shared" si="28"/>
        <v/>
      </c>
      <c r="K148" s="20" t="str">
        <f t="shared" si="32"/>
        <v/>
      </c>
      <c r="L148" s="94" t="str">
        <f t="shared" si="33"/>
        <v/>
      </c>
      <c r="M148" s="84" t="str">
        <f t="shared" si="34"/>
        <v/>
      </c>
      <c r="O148" s="36" t="str">
        <f t="shared" si="35"/>
        <v/>
      </c>
      <c r="P148" s="27" t="str">
        <f t="shared" si="36"/>
        <v/>
      </c>
      <c r="Q148" s="30" t="str">
        <f t="shared" si="37"/>
        <v/>
      </c>
      <c r="R148" s="19"/>
      <c r="S148" s="19" t="str">
        <f t="shared" si="38"/>
        <v/>
      </c>
      <c r="T148" s="19" t="str">
        <f t="shared" si="39"/>
        <v/>
      </c>
      <c r="U148" s="57" t="str">
        <f t="shared" si="40"/>
        <v/>
      </c>
      <c r="V148" s="57" t="str">
        <f t="shared" si="41"/>
        <v/>
      </c>
      <c r="W148" s="63" t="str">
        <f>IF(U148="","",IF(T149="",P$4-SUM(W$14:W147),IF((YEAR(O148)*1000+MONTH(O148))&gt;=P$9,IF((YEAR(O148)*1000+MONTH(O148))=P$9,ROUND(U148,0),ROUND(T148,0)),"")))</f>
        <v/>
      </c>
      <c r="X148" s="59" t="str">
        <f>IF(S$10="","",IF(P148&lt;=S$10,IF(P148=S$10,P$4-SUM(W$14:W147),W148),""))</f>
        <v/>
      </c>
    </row>
    <row r="149" spans="3:24" ht="15" hidden="1" customHeight="1" outlineLevel="1" x14ac:dyDescent="0.45">
      <c r="C149" s="124"/>
      <c r="D149" s="105"/>
      <c r="E149" s="131"/>
      <c r="F149" s="71"/>
      <c r="G149" s="78" t="str">
        <f t="shared" si="29"/>
        <v/>
      </c>
      <c r="H149" s="3">
        <f t="shared" si="30"/>
        <v>0</v>
      </c>
      <c r="I149" s="20" t="str">
        <f t="shared" si="31"/>
        <v/>
      </c>
      <c r="J149" s="94" t="str">
        <f t="shared" si="28"/>
        <v/>
      </c>
      <c r="K149" s="20" t="str">
        <f t="shared" si="32"/>
        <v/>
      </c>
      <c r="L149" s="94" t="str">
        <f t="shared" si="33"/>
        <v/>
      </c>
      <c r="M149" s="84" t="str">
        <f t="shared" si="34"/>
        <v/>
      </c>
      <c r="O149" s="36" t="str">
        <f t="shared" si="35"/>
        <v/>
      </c>
      <c r="P149" s="27" t="str">
        <f t="shared" si="36"/>
        <v/>
      </c>
      <c r="Q149" s="30" t="str">
        <f t="shared" si="37"/>
        <v/>
      </c>
      <c r="R149" s="19"/>
      <c r="S149" s="19" t="str">
        <f t="shared" si="38"/>
        <v/>
      </c>
      <c r="T149" s="19" t="str">
        <f t="shared" si="39"/>
        <v/>
      </c>
      <c r="U149" s="57" t="str">
        <f t="shared" si="40"/>
        <v/>
      </c>
      <c r="V149" s="57" t="str">
        <f t="shared" si="41"/>
        <v/>
      </c>
      <c r="W149" s="63" t="str">
        <f>IF(U149="","",IF(T150="",P$4-SUM(W$14:W148),IF((YEAR(O149)*1000+MONTH(O149))&gt;=P$9,IF((YEAR(O149)*1000+MONTH(O149))=P$9,ROUND(U149,0),ROUND(T149,0)),"")))</f>
        <v/>
      </c>
      <c r="X149" s="59" t="str">
        <f>IF(S$10="","",IF(P149&lt;=S$10,IF(P149=S$10,P$4-SUM(W$14:W148),W149),""))</f>
        <v/>
      </c>
    </row>
    <row r="150" spans="3:24" ht="15" hidden="1" customHeight="1" outlineLevel="1" x14ac:dyDescent="0.45">
      <c r="C150" s="124"/>
      <c r="D150" s="105"/>
      <c r="E150" s="131"/>
      <c r="F150" s="71"/>
      <c r="G150" s="78" t="str">
        <f t="shared" si="29"/>
        <v/>
      </c>
      <c r="H150" s="3">
        <f t="shared" si="30"/>
        <v>0</v>
      </c>
      <c r="I150" s="20" t="str">
        <f t="shared" si="31"/>
        <v/>
      </c>
      <c r="J150" s="94" t="str">
        <f t="shared" si="28"/>
        <v/>
      </c>
      <c r="K150" s="20" t="str">
        <f t="shared" si="32"/>
        <v/>
      </c>
      <c r="L150" s="94" t="str">
        <f t="shared" si="33"/>
        <v/>
      </c>
      <c r="M150" s="84" t="str">
        <f t="shared" si="34"/>
        <v/>
      </c>
      <c r="O150" s="36" t="str">
        <f t="shared" si="35"/>
        <v/>
      </c>
      <c r="P150" s="27" t="str">
        <f t="shared" si="36"/>
        <v/>
      </c>
      <c r="Q150" s="30" t="str">
        <f t="shared" si="37"/>
        <v/>
      </c>
      <c r="R150" s="19"/>
      <c r="S150" s="19" t="str">
        <f t="shared" si="38"/>
        <v/>
      </c>
      <c r="T150" s="19" t="str">
        <f t="shared" si="39"/>
        <v/>
      </c>
      <c r="U150" s="57" t="str">
        <f t="shared" si="40"/>
        <v/>
      </c>
      <c r="V150" s="57" t="str">
        <f t="shared" si="41"/>
        <v/>
      </c>
      <c r="W150" s="63" t="str">
        <f>IF(U150="","",IF(T151="",P$4-SUM(W$14:W149),IF((YEAR(O150)*1000+MONTH(O150))&gt;=P$9,IF((YEAR(O150)*1000+MONTH(O150))=P$9,ROUND(U150,0),ROUND(T150,0)),"")))</f>
        <v/>
      </c>
      <c r="X150" s="59" t="str">
        <f>IF(S$10="","",IF(P150&lt;=S$10,IF(P150=S$10,P$4-SUM(W$14:W149),W150),""))</f>
        <v/>
      </c>
    </row>
    <row r="151" spans="3:24" ht="15" hidden="1" customHeight="1" outlineLevel="1" x14ac:dyDescent="0.45">
      <c r="C151" s="124"/>
      <c r="D151" s="105"/>
      <c r="E151" s="131"/>
      <c r="F151" s="71"/>
      <c r="G151" s="78" t="str">
        <f t="shared" si="29"/>
        <v/>
      </c>
      <c r="H151" s="3">
        <f t="shared" si="30"/>
        <v>0</v>
      </c>
      <c r="I151" s="20" t="str">
        <f t="shared" si="31"/>
        <v/>
      </c>
      <c r="J151" s="94" t="str">
        <f t="shared" si="28"/>
        <v/>
      </c>
      <c r="K151" s="20" t="str">
        <f t="shared" si="32"/>
        <v/>
      </c>
      <c r="L151" s="94" t="str">
        <f t="shared" si="33"/>
        <v/>
      </c>
      <c r="M151" s="84" t="str">
        <f t="shared" si="34"/>
        <v/>
      </c>
      <c r="O151" s="36" t="str">
        <f t="shared" si="35"/>
        <v/>
      </c>
      <c r="P151" s="27" t="str">
        <f t="shared" si="36"/>
        <v/>
      </c>
      <c r="Q151" s="30" t="str">
        <f t="shared" si="37"/>
        <v/>
      </c>
      <c r="R151" s="19"/>
      <c r="S151" s="19" t="str">
        <f t="shared" si="38"/>
        <v/>
      </c>
      <c r="T151" s="19" t="str">
        <f t="shared" si="39"/>
        <v/>
      </c>
      <c r="U151" s="57" t="str">
        <f t="shared" si="40"/>
        <v/>
      </c>
      <c r="V151" s="57" t="str">
        <f t="shared" si="41"/>
        <v/>
      </c>
      <c r="W151" s="63" t="str">
        <f>IF(U151="","",IF(T152="",P$4-SUM(W$14:W150),IF((YEAR(O151)*1000+MONTH(O151))&gt;=P$9,IF((YEAR(O151)*1000+MONTH(O151))=P$9,ROUND(U151,0),ROUND(T151,0)),"")))</f>
        <v/>
      </c>
      <c r="X151" s="59" t="str">
        <f>IF(S$10="","",IF(P151&lt;=S$10,IF(P151=S$10,P$4-SUM(W$14:W150),W151),""))</f>
        <v/>
      </c>
    </row>
    <row r="152" spans="3:24" ht="15" hidden="1" customHeight="1" outlineLevel="1" x14ac:dyDescent="0.45">
      <c r="C152" s="124"/>
      <c r="D152" s="105"/>
      <c r="E152" s="131"/>
      <c r="F152" s="71"/>
      <c r="G152" s="78" t="str">
        <f t="shared" si="29"/>
        <v/>
      </c>
      <c r="H152" s="3">
        <f t="shared" si="30"/>
        <v>0</v>
      </c>
      <c r="I152" s="20" t="str">
        <f t="shared" si="31"/>
        <v/>
      </c>
      <c r="J152" s="94" t="str">
        <f t="shared" si="28"/>
        <v/>
      </c>
      <c r="K152" s="20" t="str">
        <f t="shared" si="32"/>
        <v/>
      </c>
      <c r="L152" s="94" t="str">
        <f t="shared" si="33"/>
        <v/>
      </c>
      <c r="M152" s="84" t="str">
        <f t="shared" si="34"/>
        <v/>
      </c>
      <c r="O152" s="36" t="str">
        <f t="shared" si="35"/>
        <v/>
      </c>
      <c r="P152" s="27" t="str">
        <f t="shared" si="36"/>
        <v/>
      </c>
      <c r="Q152" s="30" t="str">
        <f t="shared" si="37"/>
        <v/>
      </c>
      <c r="R152" s="19"/>
      <c r="S152" s="19" t="str">
        <f t="shared" si="38"/>
        <v/>
      </c>
      <c r="T152" s="19" t="str">
        <f t="shared" si="39"/>
        <v/>
      </c>
      <c r="U152" s="57" t="str">
        <f t="shared" si="40"/>
        <v/>
      </c>
      <c r="V152" s="57" t="str">
        <f t="shared" si="41"/>
        <v/>
      </c>
      <c r="W152" s="63" t="str">
        <f>IF(U152="","",IF(T153="",P$4-SUM(W$14:W151),IF((YEAR(O152)*1000+MONTH(O152))&gt;=P$9,IF((YEAR(O152)*1000+MONTH(O152))=P$9,ROUND(U152,0),ROUND(T152,0)),"")))</f>
        <v/>
      </c>
      <c r="X152" s="59" t="str">
        <f>IF(S$10="","",IF(P152&lt;=S$10,IF(P152=S$10,P$4-SUM(W$14:W151),W152),""))</f>
        <v/>
      </c>
    </row>
    <row r="153" spans="3:24" ht="15" hidden="1" customHeight="1" outlineLevel="1" x14ac:dyDescent="0.45">
      <c r="C153" s="124"/>
      <c r="D153" s="105"/>
      <c r="E153" s="131"/>
      <c r="F153" s="71"/>
      <c r="G153" s="78" t="str">
        <f t="shared" si="29"/>
        <v/>
      </c>
      <c r="H153" s="3">
        <f t="shared" si="30"/>
        <v>0</v>
      </c>
      <c r="I153" s="20" t="str">
        <f t="shared" si="31"/>
        <v/>
      </c>
      <c r="J153" s="94" t="str">
        <f t="shared" si="28"/>
        <v/>
      </c>
      <c r="K153" s="20" t="str">
        <f t="shared" si="32"/>
        <v/>
      </c>
      <c r="L153" s="94" t="str">
        <f t="shared" si="33"/>
        <v/>
      </c>
      <c r="M153" s="84" t="str">
        <f t="shared" si="34"/>
        <v/>
      </c>
      <c r="O153" s="36" t="str">
        <f t="shared" si="35"/>
        <v/>
      </c>
      <c r="P153" s="27" t="str">
        <f t="shared" si="36"/>
        <v/>
      </c>
      <c r="Q153" s="30" t="str">
        <f t="shared" si="37"/>
        <v/>
      </c>
      <c r="R153" s="19"/>
      <c r="S153" s="19" t="str">
        <f t="shared" si="38"/>
        <v/>
      </c>
      <c r="T153" s="19" t="str">
        <f t="shared" si="39"/>
        <v/>
      </c>
      <c r="U153" s="57" t="str">
        <f t="shared" si="40"/>
        <v/>
      </c>
      <c r="V153" s="57" t="str">
        <f t="shared" si="41"/>
        <v/>
      </c>
      <c r="W153" s="63" t="str">
        <f>IF(U153="","",IF(T154="",P$4-SUM(W$14:W152),IF((YEAR(O153)*1000+MONTH(O153))&gt;=P$9,IF((YEAR(O153)*1000+MONTH(O153))=P$9,ROUND(U153,0),ROUND(T153,0)),"")))</f>
        <v/>
      </c>
      <c r="X153" s="59" t="str">
        <f>IF(S$10="","",IF(P153&lt;=S$10,IF(P153=S$10,P$4-SUM(W$14:W152),W153),""))</f>
        <v/>
      </c>
    </row>
    <row r="154" spans="3:24" ht="15" hidden="1" customHeight="1" outlineLevel="1" x14ac:dyDescent="0.45">
      <c r="C154" s="124"/>
      <c r="D154" s="105"/>
      <c r="E154" s="131"/>
      <c r="F154" s="71"/>
      <c r="G154" s="78" t="str">
        <f t="shared" si="29"/>
        <v/>
      </c>
      <c r="H154" s="3">
        <f t="shared" si="30"/>
        <v>0</v>
      </c>
      <c r="I154" s="20" t="str">
        <f t="shared" si="31"/>
        <v/>
      </c>
      <c r="J154" s="94" t="str">
        <f t="shared" si="28"/>
        <v/>
      </c>
      <c r="K154" s="20" t="str">
        <f t="shared" si="32"/>
        <v/>
      </c>
      <c r="L154" s="94" t="str">
        <f t="shared" si="33"/>
        <v/>
      </c>
      <c r="M154" s="84" t="str">
        <f t="shared" si="34"/>
        <v/>
      </c>
      <c r="O154" s="36" t="str">
        <f t="shared" si="35"/>
        <v/>
      </c>
      <c r="P154" s="27" t="str">
        <f t="shared" si="36"/>
        <v/>
      </c>
      <c r="Q154" s="30" t="str">
        <f t="shared" si="37"/>
        <v/>
      </c>
      <c r="R154" s="19"/>
      <c r="S154" s="19" t="str">
        <f t="shared" si="38"/>
        <v/>
      </c>
      <c r="T154" s="19" t="str">
        <f t="shared" si="39"/>
        <v/>
      </c>
      <c r="U154" s="57" t="str">
        <f t="shared" si="40"/>
        <v/>
      </c>
      <c r="V154" s="57" t="str">
        <f t="shared" si="41"/>
        <v/>
      </c>
      <c r="W154" s="63" t="str">
        <f>IF(U154="","",IF(T155="",P$4-SUM(W$14:W153),IF((YEAR(O154)*1000+MONTH(O154))&gt;=P$9,IF((YEAR(O154)*1000+MONTH(O154))=P$9,ROUND(U154,0),ROUND(T154,0)),"")))</f>
        <v/>
      </c>
      <c r="X154" s="59" t="str">
        <f>IF(S$10="","",IF(P154&lt;=S$10,IF(P154=S$10,P$4-SUM(W$14:W153),W154),""))</f>
        <v/>
      </c>
    </row>
    <row r="155" spans="3:24" ht="15" hidden="1" customHeight="1" outlineLevel="1" x14ac:dyDescent="0.45">
      <c r="C155" s="124"/>
      <c r="D155" s="105"/>
      <c r="E155" s="131"/>
      <c r="F155" s="71"/>
      <c r="G155" s="78" t="str">
        <f t="shared" si="29"/>
        <v/>
      </c>
      <c r="H155" s="3">
        <f t="shared" si="30"/>
        <v>0</v>
      </c>
      <c r="I155" s="20" t="str">
        <f t="shared" si="31"/>
        <v/>
      </c>
      <c r="J155" s="94" t="str">
        <f t="shared" si="28"/>
        <v/>
      </c>
      <c r="K155" s="20" t="str">
        <f t="shared" si="32"/>
        <v/>
      </c>
      <c r="L155" s="94" t="str">
        <f t="shared" si="33"/>
        <v/>
      </c>
      <c r="M155" s="84" t="str">
        <f t="shared" si="34"/>
        <v/>
      </c>
      <c r="O155" s="36" t="str">
        <f t="shared" si="35"/>
        <v/>
      </c>
      <c r="P155" s="27" t="str">
        <f t="shared" si="36"/>
        <v/>
      </c>
      <c r="Q155" s="30" t="str">
        <f t="shared" si="37"/>
        <v/>
      </c>
      <c r="R155" s="19"/>
      <c r="S155" s="19" t="str">
        <f t="shared" si="38"/>
        <v/>
      </c>
      <c r="T155" s="19" t="str">
        <f t="shared" si="39"/>
        <v/>
      </c>
      <c r="U155" s="57" t="str">
        <f t="shared" si="40"/>
        <v/>
      </c>
      <c r="V155" s="57" t="str">
        <f t="shared" si="41"/>
        <v/>
      </c>
      <c r="W155" s="63" t="str">
        <f>IF(U155="","",IF(T156="",P$4-SUM(W$14:W154),IF((YEAR(O155)*1000+MONTH(O155))&gt;=P$9,IF((YEAR(O155)*1000+MONTH(O155))=P$9,ROUND(U155,0),ROUND(T155,0)),"")))</f>
        <v/>
      </c>
      <c r="X155" s="59" t="str">
        <f>IF(S$10="","",IF(P155&lt;=S$10,IF(P155=S$10,P$4-SUM(W$14:W154),W155),""))</f>
        <v/>
      </c>
    </row>
    <row r="156" spans="3:24" ht="15" hidden="1" customHeight="1" outlineLevel="1" x14ac:dyDescent="0.45">
      <c r="C156" s="124"/>
      <c r="D156" s="105"/>
      <c r="E156" s="131"/>
      <c r="F156" s="71"/>
      <c r="G156" s="78" t="str">
        <f t="shared" si="29"/>
        <v/>
      </c>
      <c r="H156" s="3">
        <f t="shared" si="30"/>
        <v>0</v>
      </c>
      <c r="I156" s="20" t="str">
        <f t="shared" si="31"/>
        <v/>
      </c>
      <c r="J156" s="94" t="str">
        <f t="shared" si="28"/>
        <v/>
      </c>
      <c r="K156" s="20" t="str">
        <f t="shared" si="32"/>
        <v/>
      </c>
      <c r="L156" s="94" t="str">
        <f t="shared" si="33"/>
        <v/>
      </c>
      <c r="M156" s="84" t="str">
        <f t="shared" si="34"/>
        <v/>
      </c>
      <c r="O156" s="36" t="str">
        <f t="shared" si="35"/>
        <v/>
      </c>
      <c r="P156" s="27" t="str">
        <f t="shared" si="36"/>
        <v/>
      </c>
      <c r="Q156" s="30" t="str">
        <f t="shared" si="37"/>
        <v/>
      </c>
      <c r="R156" s="19"/>
      <c r="S156" s="19" t="str">
        <f t="shared" si="38"/>
        <v/>
      </c>
      <c r="T156" s="19" t="str">
        <f t="shared" si="39"/>
        <v/>
      </c>
      <c r="U156" s="57" t="str">
        <f t="shared" si="40"/>
        <v/>
      </c>
      <c r="V156" s="57" t="str">
        <f t="shared" si="41"/>
        <v/>
      </c>
      <c r="W156" s="63" t="str">
        <f>IF(U156="","",IF(T157="",P$4-SUM(W$14:W155),IF((YEAR(O156)*1000+MONTH(O156))&gt;=P$9,IF((YEAR(O156)*1000+MONTH(O156))=P$9,ROUND(U156,0),ROUND(T156,0)),"")))</f>
        <v/>
      </c>
      <c r="X156" s="59" t="str">
        <f>IF(S$10="","",IF(P156&lt;=S$10,IF(P156=S$10,P$4-SUM(W$14:W155),W156),""))</f>
        <v/>
      </c>
    </row>
    <row r="157" spans="3:24" ht="15" hidden="1" customHeight="1" outlineLevel="1" x14ac:dyDescent="0.45">
      <c r="C157" s="124"/>
      <c r="D157" s="105"/>
      <c r="E157" s="131"/>
      <c r="F157" s="71"/>
      <c r="G157" s="78" t="str">
        <f t="shared" si="29"/>
        <v/>
      </c>
      <c r="H157" s="3">
        <f t="shared" si="30"/>
        <v>0</v>
      </c>
      <c r="I157" s="20" t="str">
        <f t="shared" si="31"/>
        <v/>
      </c>
      <c r="J157" s="94" t="str">
        <f t="shared" si="28"/>
        <v/>
      </c>
      <c r="K157" s="20" t="str">
        <f t="shared" si="32"/>
        <v/>
      </c>
      <c r="L157" s="94" t="str">
        <f t="shared" si="33"/>
        <v/>
      </c>
      <c r="M157" s="84" t="str">
        <f t="shared" si="34"/>
        <v/>
      </c>
      <c r="O157" s="36" t="str">
        <f t="shared" si="35"/>
        <v/>
      </c>
      <c r="P157" s="27" t="str">
        <f t="shared" si="36"/>
        <v/>
      </c>
      <c r="Q157" s="30" t="str">
        <f t="shared" si="37"/>
        <v/>
      </c>
      <c r="R157" s="19"/>
      <c r="S157" s="19" t="str">
        <f t="shared" si="38"/>
        <v/>
      </c>
      <c r="T157" s="19" t="str">
        <f t="shared" si="39"/>
        <v/>
      </c>
      <c r="U157" s="57" t="str">
        <f t="shared" si="40"/>
        <v/>
      </c>
      <c r="V157" s="57" t="str">
        <f t="shared" si="41"/>
        <v/>
      </c>
      <c r="W157" s="63" t="str">
        <f>IF(U157="","",IF(T158="",P$4-SUM(W$14:W156),IF((YEAR(O157)*1000+MONTH(O157))&gt;=P$9,IF((YEAR(O157)*1000+MONTH(O157))=P$9,ROUND(U157,0),ROUND(T157,0)),"")))</f>
        <v/>
      </c>
      <c r="X157" s="59" t="str">
        <f>IF(S$10="","",IF(P157&lt;=S$10,IF(P157=S$10,P$4-SUM(W$14:W156),W157),""))</f>
        <v/>
      </c>
    </row>
    <row r="158" spans="3:24" ht="15" hidden="1" customHeight="1" outlineLevel="1" x14ac:dyDescent="0.45">
      <c r="C158" s="124"/>
      <c r="D158" s="105"/>
      <c r="E158" s="131"/>
      <c r="F158" s="71"/>
      <c r="G158" s="78" t="str">
        <f t="shared" si="29"/>
        <v/>
      </c>
      <c r="H158" s="3">
        <f t="shared" si="30"/>
        <v>0</v>
      </c>
      <c r="I158" s="20" t="str">
        <f t="shared" si="31"/>
        <v/>
      </c>
      <c r="J158" s="94" t="str">
        <f t="shared" si="28"/>
        <v/>
      </c>
      <c r="K158" s="20" t="str">
        <f t="shared" si="32"/>
        <v/>
      </c>
      <c r="L158" s="94" t="str">
        <f t="shared" si="33"/>
        <v/>
      </c>
      <c r="M158" s="84" t="str">
        <f t="shared" si="34"/>
        <v/>
      </c>
      <c r="O158" s="36" t="str">
        <f t="shared" si="35"/>
        <v/>
      </c>
      <c r="P158" s="27" t="str">
        <f t="shared" si="36"/>
        <v/>
      </c>
      <c r="Q158" s="30" t="str">
        <f t="shared" si="37"/>
        <v/>
      </c>
      <c r="R158" s="19"/>
      <c r="S158" s="19" t="str">
        <f t="shared" si="38"/>
        <v/>
      </c>
      <c r="T158" s="19" t="str">
        <f t="shared" si="39"/>
        <v/>
      </c>
      <c r="U158" s="57" t="str">
        <f t="shared" si="40"/>
        <v/>
      </c>
      <c r="V158" s="57" t="str">
        <f t="shared" si="41"/>
        <v/>
      </c>
      <c r="W158" s="63" t="str">
        <f>IF(U158="","",IF(T159="",P$4-SUM(W$14:W157),IF((YEAR(O158)*1000+MONTH(O158))&gt;=P$9,IF((YEAR(O158)*1000+MONTH(O158))=P$9,ROUND(U158,0),ROUND(T158,0)),"")))</f>
        <v/>
      </c>
      <c r="X158" s="59" t="str">
        <f>IF(S$10="","",IF(P158&lt;=S$10,IF(P158=S$10,P$4-SUM(W$14:W157),W158),""))</f>
        <v/>
      </c>
    </row>
    <row r="159" spans="3:24" ht="15" hidden="1" customHeight="1" outlineLevel="1" x14ac:dyDescent="0.45">
      <c r="C159" s="124"/>
      <c r="D159" s="105"/>
      <c r="E159" s="131"/>
      <c r="F159" s="71"/>
      <c r="G159" s="78" t="str">
        <f t="shared" si="29"/>
        <v/>
      </c>
      <c r="H159" s="3">
        <f t="shared" si="30"/>
        <v>0</v>
      </c>
      <c r="I159" s="20" t="str">
        <f t="shared" si="31"/>
        <v/>
      </c>
      <c r="J159" s="94" t="str">
        <f t="shared" si="28"/>
        <v/>
      </c>
      <c r="K159" s="20" t="str">
        <f t="shared" si="32"/>
        <v/>
      </c>
      <c r="L159" s="94" t="str">
        <f t="shared" si="33"/>
        <v/>
      </c>
      <c r="M159" s="84" t="str">
        <f t="shared" si="34"/>
        <v/>
      </c>
      <c r="O159" s="36" t="str">
        <f t="shared" si="35"/>
        <v/>
      </c>
      <c r="P159" s="27" t="str">
        <f t="shared" si="36"/>
        <v/>
      </c>
      <c r="Q159" s="30" t="str">
        <f t="shared" si="37"/>
        <v/>
      </c>
      <c r="R159" s="19"/>
      <c r="S159" s="19" t="str">
        <f t="shared" si="38"/>
        <v/>
      </c>
      <c r="T159" s="19" t="str">
        <f t="shared" si="39"/>
        <v/>
      </c>
      <c r="U159" s="57" t="str">
        <f t="shared" si="40"/>
        <v/>
      </c>
      <c r="V159" s="57" t="str">
        <f t="shared" si="41"/>
        <v/>
      </c>
      <c r="W159" s="63" t="str">
        <f>IF(U159="","",IF(T160="",P$4-SUM(W$14:W158),IF((YEAR(O159)*1000+MONTH(O159))&gt;=P$9,IF((YEAR(O159)*1000+MONTH(O159))=P$9,ROUND(U159,0),ROUND(T159,0)),"")))</f>
        <v/>
      </c>
      <c r="X159" s="59" t="str">
        <f>IF(S$10="","",IF(P159&lt;=S$10,IF(P159=S$10,P$4-SUM(W$14:W158),W159),""))</f>
        <v/>
      </c>
    </row>
    <row r="160" spans="3:24" ht="15" hidden="1" customHeight="1" outlineLevel="1" x14ac:dyDescent="0.45">
      <c r="C160" s="124"/>
      <c r="D160" s="105"/>
      <c r="E160" s="131"/>
      <c r="F160" s="71"/>
      <c r="G160" s="78" t="str">
        <f t="shared" si="29"/>
        <v/>
      </c>
      <c r="H160" s="3">
        <f t="shared" si="30"/>
        <v>0</v>
      </c>
      <c r="I160" s="20" t="str">
        <f t="shared" si="31"/>
        <v/>
      </c>
      <c r="J160" s="94" t="str">
        <f t="shared" si="28"/>
        <v/>
      </c>
      <c r="K160" s="20" t="str">
        <f t="shared" si="32"/>
        <v/>
      </c>
      <c r="L160" s="94" t="str">
        <f t="shared" si="33"/>
        <v/>
      </c>
      <c r="M160" s="84" t="str">
        <f t="shared" si="34"/>
        <v/>
      </c>
      <c r="O160" s="36" t="str">
        <f t="shared" si="35"/>
        <v/>
      </c>
      <c r="P160" s="27" t="str">
        <f t="shared" si="36"/>
        <v/>
      </c>
      <c r="Q160" s="30" t="str">
        <f t="shared" si="37"/>
        <v/>
      </c>
      <c r="R160" s="19"/>
      <c r="S160" s="19" t="str">
        <f t="shared" si="38"/>
        <v/>
      </c>
      <c r="T160" s="19" t="str">
        <f t="shared" si="39"/>
        <v/>
      </c>
      <c r="U160" s="57" t="str">
        <f t="shared" si="40"/>
        <v/>
      </c>
      <c r="V160" s="57" t="str">
        <f t="shared" si="41"/>
        <v/>
      </c>
      <c r="W160" s="63" t="str">
        <f>IF(U160="","",IF(T161="",P$4-SUM(W$14:W159),IF((YEAR(O160)*1000+MONTH(O160))&gt;=P$9,IF((YEAR(O160)*1000+MONTH(O160))=P$9,ROUND(U160,0),ROUND(T160,0)),"")))</f>
        <v/>
      </c>
      <c r="X160" s="59" t="str">
        <f>IF(S$10="","",IF(P160&lt;=S$10,IF(P160=S$10,P$4-SUM(W$14:W159),W160),""))</f>
        <v/>
      </c>
    </row>
    <row r="161" spans="3:24" ht="15" hidden="1" customHeight="1" outlineLevel="1" x14ac:dyDescent="0.45">
      <c r="C161" s="124"/>
      <c r="D161" s="105"/>
      <c r="E161" s="131"/>
      <c r="F161" s="71"/>
      <c r="G161" s="78" t="str">
        <f t="shared" si="29"/>
        <v/>
      </c>
      <c r="H161" s="3">
        <f t="shared" si="30"/>
        <v>0</v>
      </c>
      <c r="I161" s="20" t="str">
        <f t="shared" si="31"/>
        <v/>
      </c>
      <c r="J161" s="94" t="str">
        <f t="shared" si="28"/>
        <v/>
      </c>
      <c r="K161" s="20" t="str">
        <f t="shared" si="32"/>
        <v/>
      </c>
      <c r="L161" s="94" t="str">
        <f t="shared" si="33"/>
        <v/>
      </c>
      <c r="M161" s="84" t="str">
        <f t="shared" si="34"/>
        <v/>
      </c>
      <c r="O161" s="36" t="str">
        <f t="shared" si="35"/>
        <v/>
      </c>
      <c r="P161" s="27" t="str">
        <f t="shared" si="36"/>
        <v/>
      </c>
      <c r="Q161" s="30" t="str">
        <f t="shared" si="37"/>
        <v/>
      </c>
      <c r="R161" s="19"/>
      <c r="S161" s="19" t="str">
        <f t="shared" si="38"/>
        <v/>
      </c>
      <c r="T161" s="19" t="str">
        <f t="shared" si="39"/>
        <v/>
      </c>
      <c r="U161" s="57" t="str">
        <f t="shared" si="40"/>
        <v/>
      </c>
      <c r="V161" s="57" t="str">
        <f t="shared" si="41"/>
        <v/>
      </c>
      <c r="W161" s="63" t="str">
        <f>IF(U161="","",IF(T162="",P$4-SUM(W$14:W160),IF((YEAR(O161)*1000+MONTH(O161))&gt;=P$9,IF((YEAR(O161)*1000+MONTH(O161))=P$9,ROUND(U161,0),ROUND(T161,0)),"")))</f>
        <v/>
      </c>
      <c r="X161" s="59" t="str">
        <f>IF(S$10="","",IF(P161&lt;=S$10,IF(P161=S$10,P$4-SUM(W$14:W160),W161),""))</f>
        <v/>
      </c>
    </row>
    <row r="162" spans="3:24" ht="15" hidden="1" customHeight="1" outlineLevel="1" x14ac:dyDescent="0.45">
      <c r="C162" s="124"/>
      <c r="D162" s="105"/>
      <c r="E162" s="131"/>
      <c r="F162" s="71"/>
      <c r="G162" s="78" t="str">
        <f t="shared" si="29"/>
        <v/>
      </c>
      <c r="H162" s="3">
        <f t="shared" si="30"/>
        <v>0</v>
      </c>
      <c r="I162" s="20" t="str">
        <f t="shared" si="31"/>
        <v/>
      </c>
      <c r="J162" s="94" t="str">
        <f t="shared" si="28"/>
        <v/>
      </c>
      <c r="K162" s="20" t="str">
        <f t="shared" si="32"/>
        <v/>
      </c>
      <c r="L162" s="94" t="str">
        <f t="shared" si="33"/>
        <v/>
      </c>
      <c r="M162" s="84" t="str">
        <f t="shared" si="34"/>
        <v/>
      </c>
      <c r="O162" s="36" t="str">
        <f t="shared" si="35"/>
        <v/>
      </c>
      <c r="P162" s="27" t="str">
        <f t="shared" si="36"/>
        <v/>
      </c>
      <c r="Q162" s="30" t="str">
        <f t="shared" si="37"/>
        <v/>
      </c>
      <c r="R162" s="19"/>
      <c r="S162" s="19" t="str">
        <f t="shared" si="38"/>
        <v/>
      </c>
      <c r="T162" s="19" t="str">
        <f t="shared" si="39"/>
        <v/>
      </c>
      <c r="U162" s="57" t="str">
        <f t="shared" si="40"/>
        <v/>
      </c>
      <c r="V162" s="57" t="str">
        <f t="shared" si="41"/>
        <v/>
      </c>
      <c r="W162" s="63" t="str">
        <f>IF(U162="","",IF(T163="",P$4-SUM(W$14:W161),IF((YEAR(O162)*1000+MONTH(O162))&gt;=P$9,IF((YEAR(O162)*1000+MONTH(O162))=P$9,ROUND(U162,0),ROUND(T162,0)),"")))</f>
        <v/>
      </c>
      <c r="X162" s="59" t="str">
        <f>IF(S$10="","",IF(P162&lt;=S$10,IF(P162=S$10,P$4-SUM(W$14:W161),W162),""))</f>
        <v/>
      </c>
    </row>
    <row r="163" spans="3:24" ht="15" hidden="1" customHeight="1" outlineLevel="1" x14ac:dyDescent="0.45">
      <c r="C163" s="124"/>
      <c r="D163" s="105"/>
      <c r="E163" s="131"/>
      <c r="F163" s="71"/>
      <c r="G163" s="78" t="str">
        <f t="shared" si="29"/>
        <v/>
      </c>
      <c r="H163" s="3">
        <f t="shared" si="30"/>
        <v>0</v>
      </c>
      <c r="I163" s="20" t="str">
        <f t="shared" si="31"/>
        <v/>
      </c>
      <c r="J163" s="94" t="str">
        <f t="shared" si="28"/>
        <v/>
      </c>
      <c r="K163" s="20" t="str">
        <f t="shared" si="32"/>
        <v/>
      </c>
      <c r="L163" s="94" t="str">
        <f t="shared" si="33"/>
        <v/>
      </c>
      <c r="M163" s="84" t="str">
        <f t="shared" si="34"/>
        <v/>
      </c>
      <c r="O163" s="36" t="str">
        <f t="shared" si="35"/>
        <v/>
      </c>
      <c r="P163" s="27" t="str">
        <f t="shared" si="36"/>
        <v/>
      </c>
      <c r="Q163" s="30" t="str">
        <f t="shared" si="37"/>
        <v/>
      </c>
      <c r="R163" s="19"/>
      <c r="S163" s="19" t="str">
        <f t="shared" si="38"/>
        <v/>
      </c>
      <c r="T163" s="19" t="str">
        <f t="shared" si="39"/>
        <v/>
      </c>
      <c r="U163" s="57" t="str">
        <f t="shared" si="40"/>
        <v/>
      </c>
      <c r="V163" s="57" t="str">
        <f t="shared" si="41"/>
        <v/>
      </c>
      <c r="W163" s="63" t="str">
        <f>IF(U163="","",IF(T164="",P$4-SUM(W$14:W162),IF((YEAR(O163)*1000+MONTH(O163))&gt;=P$9,IF((YEAR(O163)*1000+MONTH(O163))=P$9,ROUND(U163,0),ROUND(T163,0)),"")))</f>
        <v/>
      </c>
      <c r="X163" s="59" t="str">
        <f>IF(S$10="","",IF(P163&lt;=S$10,IF(P163=S$10,P$4-SUM(W$14:W162),W163),""))</f>
        <v/>
      </c>
    </row>
    <row r="164" spans="3:24" ht="15" hidden="1" customHeight="1" outlineLevel="1" x14ac:dyDescent="0.45">
      <c r="C164" s="124"/>
      <c r="D164" s="105"/>
      <c r="E164" s="131"/>
      <c r="F164" s="71"/>
      <c r="G164" s="78" t="str">
        <f t="shared" si="29"/>
        <v/>
      </c>
      <c r="H164" s="3">
        <f t="shared" si="30"/>
        <v>0</v>
      </c>
      <c r="I164" s="20" t="str">
        <f t="shared" si="31"/>
        <v/>
      </c>
      <c r="J164" s="94" t="str">
        <f t="shared" si="28"/>
        <v/>
      </c>
      <c r="K164" s="20" t="str">
        <f t="shared" si="32"/>
        <v/>
      </c>
      <c r="L164" s="94" t="str">
        <f t="shared" si="33"/>
        <v/>
      </c>
      <c r="M164" s="84" t="str">
        <f t="shared" si="34"/>
        <v/>
      </c>
      <c r="O164" s="36" t="str">
        <f t="shared" si="35"/>
        <v/>
      </c>
      <c r="P164" s="27" t="str">
        <f t="shared" si="36"/>
        <v/>
      </c>
      <c r="Q164" s="30" t="str">
        <f t="shared" si="37"/>
        <v/>
      </c>
      <c r="R164" s="19"/>
      <c r="S164" s="19" t="str">
        <f t="shared" si="38"/>
        <v/>
      </c>
      <c r="T164" s="19" t="str">
        <f t="shared" si="39"/>
        <v/>
      </c>
      <c r="U164" s="57" t="str">
        <f t="shared" si="40"/>
        <v/>
      </c>
      <c r="V164" s="57" t="str">
        <f t="shared" si="41"/>
        <v/>
      </c>
      <c r="W164" s="63" t="str">
        <f>IF(U164="","",IF(T165="",P$4-SUM(W$14:W163),IF((YEAR(O164)*1000+MONTH(O164))&gt;=P$9,IF((YEAR(O164)*1000+MONTH(O164))=P$9,ROUND(U164,0),ROUND(T164,0)),"")))</f>
        <v/>
      </c>
      <c r="X164" s="59" t="str">
        <f>IF(S$10="","",IF(P164&lt;=S$10,IF(P164=S$10,P$4-SUM(W$14:W163),W164),""))</f>
        <v/>
      </c>
    </row>
    <row r="165" spans="3:24" ht="15" hidden="1" customHeight="1" outlineLevel="1" x14ac:dyDescent="0.45">
      <c r="C165" s="124"/>
      <c r="D165" s="105"/>
      <c r="E165" s="131"/>
      <c r="F165" s="71"/>
      <c r="G165" s="78" t="str">
        <f t="shared" si="29"/>
        <v/>
      </c>
      <c r="H165" s="3">
        <f t="shared" si="30"/>
        <v>0</v>
      </c>
      <c r="I165" s="20" t="str">
        <f t="shared" si="31"/>
        <v/>
      </c>
      <c r="J165" s="94" t="str">
        <f t="shared" si="28"/>
        <v/>
      </c>
      <c r="K165" s="20" t="str">
        <f t="shared" si="32"/>
        <v/>
      </c>
      <c r="L165" s="94" t="str">
        <f t="shared" si="33"/>
        <v/>
      </c>
      <c r="M165" s="84" t="str">
        <f t="shared" si="34"/>
        <v/>
      </c>
      <c r="O165" s="36" t="str">
        <f t="shared" si="35"/>
        <v/>
      </c>
      <c r="P165" s="27" t="str">
        <f t="shared" si="36"/>
        <v/>
      </c>
      <c r="Q165" s="30" t="str">
        <f t="shared" si="37"/>
        <v/>
      </c>
      <c r="R165" s="19"/>
      <c r="S165" s="19" t="str">
        <f t="shared" si="38"/>
        <v/>
      </c>
      <c r="T165" s="19" t="str">
        <f t="shared" si="39"/>
        <v/>
      </c>
      <c r="U165" s="57" t="str">
        <f t="shared" si="40"/>
        <v/>
      </c>
      <c r="V165" s="57" t="str">
        <f t="shared" si="41"/>
        <v/>
      </c>
      <c r="W165" s="63" t="str">
        <f>IF(U165="","",IF(T166="",P$4-SUM(W$14:W164),IF((YEAR(O165)*1000+MONTH(O165))&gt;=P$9,IF((YEAR(O165)*1000+MONTH(O165))=P$9,ROUND(U165,0),ROUND(T165,0)),"")))</f>
        <v/>
      </c>
      <c r="X165" s="59" t="str">
        <f>IF(S$10="","",IF(P165&lt;=S$10,IF(P165=S$10,P$4-SUM(W$14:W164),W165),""))</f>
        <v/>
      </c>
    </row>
    <row r="166" spans="3:24" ht="15" hidden="1" customHeight="1" outlineLevel="1" x14ac:dyDescent="0.45">
      <c r="C166" s="124"/>
      <c r="D166" s="105"/>
      <c r="E166" s="131"/>
      <c r="F166" s="71"/>
      <c r="G166" s="78" t="str">
        <f t="shared" si="29"/>
        <v/>
      </c>
      <c r="H166" s="3">
        <f t="shared" si="30"/>
        <v>0</v>
      </c>
      <c r="I166" s="20" t="str">
        <f t="shared" si="31"/>
        <v/>
      </c>
      <c r="J166" s="94" t="str">
        <f t="shared" si="28"/>
        <v/>
      </c>
      <c r="K166" s="20" t="str">
        <f t="shared" si="32"/>
        <v/>
      </c>
      <c r="L166" s="94" t="str">
        <f t="shared" si="33"/>
        <v/>
      </c>
      <c r="M166" s="84" t="str">
        <f t="shared" si="34"/>
        <v/>
      </c>
      <c r="O166" s="36" t="str">
        <f t="shared" si="35"/>
        <v/>
      </c>
      <c r="P166" s="27" t="str">
        <f t="shared" si="36"/>
        <v/>
      </c>
      <c r="Q166" s="30" t="str">
        <f t="shared" si="37"/>
        <v/>
      </c>
      <c r="R166" s="19"/>
      <c r="S166" s="19" t="str">
        <f t="shared" si="38"/>
        <v/>
      </c>
      <c r="T166" s="19" t="str">
        <f t="shared" si="39"/>
        <v/>
      </c>
      <c r="U166" s="57" t="str">
        <f t="shared" si="40"/>
        <v/>
      </c>
      <c r="V166" s="57" t="str">
        <f t="shared" si="41"/>
        <v/>
      </c>
      <c r="W166" s="63" t="str">
        <f>IF(U166="","",IF(T167="",P$4-SUM(W$14:W165),IF((YEAR(O166)*1000+MONTH(O166))&gt;=P$9,IF((YEAR(O166)*1000+MONTH(O166))=P$9,ROUND(U166,0),ROUND(T166,0)),"")))</f>
        <v/>
      </c>
      <c r="X166" s="59" t="str">
        <f>IF(S$10="","",IF(P166&lt;=S$10,IF(P166=S$10,P$4-SUM(W$14:W165),W166),""))</f>
        <v/>
      </c>
    </row>
    <row r="167" spans="3:24" ht="15" hidden="1" customHeight="1" outlineLevel="1" x14ac:dyDescent="0.45">
      <c r="C167" s="124"/>
      <c r="D167" s="105"/>
      <c r="E167" s="131"/>
      <c r="F167" s="71"/>
      <c r="G167" s="78" t="str">
        <f t="shared" si="29"/>
        <v/>
      </c>
      <c r="H167" s="3">
        <f t="shared" si="30"/>
        <v>0</v>
      </c>
      <c r="I167" s="20" t="str">
        <f t="shared" si="31"/>
        <v/>
      </c>
      <c r="J167" s="94" t="str">
        <f t="shared" si="28"/>
        <v/>
      </c>
      <c r="K167" s="20" t="str">
        <f t="shared" si="32"/>
        <v/>
      </c>
      <c r="L167" s="94" t="str">
        <f t="shared" si="33"/>
        <v/>
      </c>
      <c r="M167" s="84" t="str">
        <f t="shared" si="34"/>
        <v/>
      </c>
      <c r="O167" s="36" t="str">
        <f t="shared" si="35"/>
        <v/>
      </c>
      <c r="P167" s="27" t="str">
        <f t="shared" si="36"/>
        <v/>
      </c>
      <c r="Q167" s="30" t="str">
        <f t="shared" si="37"/>
        <v/>
      </c>
      <c r="R167" s="19"/>
      <c r="S167" s="19" t="str">
        <f t="shared" si="38"/>
        <v/>
      </c>
      <c r="T167" s="19" t="str">
        <f t="shared" si="39"/>
        <v/>
      </c>
      <c r="U167" s="57" t="str">
        <f t="shared" si="40"/>
        <v/>
      </c>
      <c r="V167" s="57" t="str">
        <f t="shared" si="41"/>
        <v/>
      </c>
      <c r="W167" s="63" t="str">
        <f>IF(U167="","",IF(T168="",P$4-SUM(W$14:W166),IF((YEAR(O167)*1000+MONTH(O167))&gt;=P$9,IF((YEAR(O167)*1000+MONTH(O167))=P$9,ROUND(U167,0),ROUND(T167,0)),"")))</f>
        <v/>
      </c>
      <c r="X167" s="59" t="str">
        <f>IF(S$10="","",IF(P167&lt;=S$10,IF(P167=S$10,P$4-SUM(W$14:W166),W167),""))</f>
        <v/>
      </c>
    </row>
    <row r="168" spans="3:24" ht="15" hidden="1" customHeight="1" outlineLevel="1" x14ac:dyDescent="0.45">
      <c r="C168" s="124"/>
      <c r="D168" s="105"/>
      <c r="E168" s="131"/>
      <c r="F168" s="71"/>
      <c r="G168" s="78" t="str">
        <f t="shared" si="29"/>
        <v/>
      </c>
      <c r="H168" s="3">
        <f t="shared" si="30"/>
        <v>0</v>
      </c>
      <c r="I168" s="20" t="str">
        <f t="shared" si="31"/>
        <v/>
      </c>
      <c r="J168" s="94" t="str">
        <f t="shared" si="28"/>
        <v/>
      </c>
      <c r="K168" s="20" t="str">
        <f t="shared" si="32"/>
        <v/>
      </c>
      <c r="L168" s="94" t="str">
        <f t="shared" si="33"/>
        <v/>
      </c>
      <c r="M168" s="84" t="str">
        <f t="shared" si="34"/>
        <v/>
      </c>
      <c r="O168" s="36" t="str">
        <f t="shared" si="35"/>
        <v/>
      </c>
      <c r="P168" s="27" t="str">
        <f t="shared" si="36"/>
        <v/>
      </c>
      <c r="Q168" s="30" t="str">
        <f t="shared" si="37"/>
        <v/>
      </c>
      <c r="R168" s="19"/>
      <c r="S168" s="19" t="str">
        <f t="shared" si="38"/>
        <v/>
      </c>
      <c r="T168" s="19" t="str">
        <f t="shared" si="39"/>
        <v/>
      </c>
      <c r="U168" s="57" t="str">
        <f t="shared" si="40"/>
        <v/>
      </c>
      <c r="V168" s="57" t="str">
        <f t="shared" si="41"/>
        <v/>
      </c>
      <c r="W168" s="63" t="str">
        <f>IF(U168="","",IF(T169="",P$4-SUM(W$14:W167),IF((YEAR(O168)*1000+MONTH(O168))&gt;=P$9,IF((YEAR(O168)*1000+MONTH(O168))=P$9,ROUND(U168,0),ROUND(T168,0)),"")))</f>
        <v/>
      </c>
      <c r="X168" s="59" t="str">
        <f>IF(S$10="","",IF(P168&lt;=S$10,IF(P168=S$10,P$4-SUM(W$14:W167),W168),""))</f>
        <v/>
      </c>
    </row>
    <row r="169" spans="3:24" ht="15" hidden="1" customHeight="1" outlineLevel="1" x14ac:dyDescent="0.45">
      <c r="C169" s="124"/>
      <c r="D169" s="105"/>
      <c r="E169" s="131"/>
      <c r="F169" s="71"/>
      <c r="G169" s="78" t="str">
        <f t="shared" si="29"/>
        <v/>
      </c>
      <c r="H169" s="3">
        <f t="shared" si="30"/>
        <v>0</v>
      </c>
      <c r="I169" s="20" t="str">
        <f t="shared" si="31"/>
        <v/>
      </c>
      <c r="J169" s="94" t="str">
        <f t="shared" si="28"/>
        <v/>
      </c>
      <c r="K169" s="20" t="str">
        <f t="shared" si="32"/>
        <v/>
      </c>
      <c r="L169" s="94" t="str">
        <f t="shared" si="33"/>
        <v/>
      </c>
      <c r="M169" s="84" t="str">
        <f t="shared" si="34"/>
        <v/>
      </c>
      <c r="O169" s="36" t="str">
        <f t="shared" si="35"/>
        <v/>
      </c>
      <c r="P169" s="27" t="str">
        <f t="shared" si="36"/>
        <v/>
      </c>
      <c r="Q169" s="30" t="str">
        <f t="shared" si="37"/>
        <v/>
      </c>
      <c r="R169" s="19"/>
      <c r="S169" s="19" t="str">
        <f t="shared" si="38"/>
        <v/>
      </c>
      <c r="T169" s="19" t="str">
        <f t="shared" si="39"/>
        <v/>
      </c>
      <c r="U169" s="57" t="str">
        <f t="shared" si="40"/>
        <v/>
      </c>
      <c r="V169" s="57" t="str">
        <f t="shared" si="41"/>
        <v/>
      </c>
      <c r="W169" s="63" t="str">
        <f>IF(U169="","",IF(T170="",P$4-SUM(W$14:W168),IF((YEAR(O169)*1000+MONTH(O169))&gt;=P$9,IF((YEAR(O169)*1000+MONTH(O169))=P$9,ROUND(U169,0),ROUND(T169,0)),"")))</f>
        <v/>
      </c>
      <c r="X169" s="59" t="str">
        <f>IF(S$10="","",IF(P169&lt;=S$10,IF(P169=S$10,P$4-SUM(W$14:W168),W169),""))</f>
        <v/>
      </c>
    </row>
    <row r="170" spans="3:24" ht="15" hidden="1" customHeight="1" outlineLevel="1" x14ac:dyDescent="0.45">
      <c r="C170" s="124"/>
      <c r="D170" s="105"/>
      <c r="E170" s="131"/>
      <c r="F170" s="71"/>
      <c r="G170" s="78" t="str">
        <f t="shared" si="29"/>
        <v/>
      </c>
      <c r="H170" s="3">
        <f t="shared" si="30"/>
        <v>0</v>
      </c>
      <c r="I170" s="20" t="str">
        <f t="shared" si="31"/>
        <v/>
      </c>
      <c r="J170" s="94" t="str">
        <f t="shared" si="28"/>
        <v/>
      </c>
      <c r="K170" s="20" t="str">
        <f t="shared" si="32"/>
        <v/>
      </c>
      <c r="L170" s="94" t="str">
        <f t="shared" si="33"/>
        <v/>
      </c>
      <c r="M170" s="84" t="str">
        <f t="shared" si="34"/>
        <v/>
      </c>
      <c r="O170" s="36" t="str">
        <f t="shared" si="35"/>
        <v/>
      </c>
      <c r="P170" s="27" t="str">
        <f t="shared" si="36"/>
        <v/>
      </c>
      <c r="Q170" s="30" t="str">
        <f t="shared" si="37"/>
        <v/>
      </c>
      <c r="R170" s="19"/>
      <c r="S170" s="19" t="str">
        <f t="shared" si="38"/>
        <v/>
      </c>
      <c r="T170" s="19" t="str">
        <f t="shared" si="39"/>
        <v/>
      </c>
      <c r="U170" s="57" t="str">
        <f t="shared" si="40"/>
        <v/>
      </c>
      <c r="V170" s="57" t="str">
        <f t="shared" si="41"/>
        <v/>
      </c>
      <c r="W170" s="63" t="str">
        <f>IF(U170="","",IF(T171="",P$4-SUM(W$14:W169),IF((YEAR(O170)*1000+MONTH(O170))&gt;=P$9,IF((YEAR(O170)*1000+MONTH(O170))=P$9,ROUND(U170,0),ROUND(T170,0)),"")))</f>
        <v/>
      </c>
      <c r="X170" s="59" t="str">
        <f>IF(S$10="","",IF(P170&lt;=S$10,IF(P170=S$10,P$4-SUM(W$14:W169),W170),""))</f>
        <v/>
      </c>
    </row>
    <row r="171" spans="3:24" ht="15" hidden="1" customHeight="1" outlineLevel="1" x14ac:dyDescent="0.45">
      <c r="C171" s="124"/>
      <c r="D171" s="105"/>
      <c r="E171" s="131"/>
      <c r="F171" s="71"/>
      <c r="G171" s="78" t="str">
        <f t="shared" si="29"/>
        <v/>
      </c>
      <c r="H171" s="3">
        <f t="shared" si="30"/>
        <v>0</v>
      </c>
      <c r="I171" s="20" t="str">
        <f t="shared" si="31"/>
        <v/>
      </c>
      <c r="J171" s="94" t="str">
        <f t="shared" si="28"/>
        <v/>
      </c>
      <c r="K171" s="20" t="str">
        <f t="shared" si="32"/>
        <v/>
      </c>
      <c r="L171" s="94" t="str">
        <f t="shared" si="33"/>
        <v/>
      </c>
      <c r="M171" s="84" t="str">
        <f t="shared" si="34"/>
        <v/>
      </c>
      <c r="O171" s="36" t="str">
        <f t="shared" si="35"/>
        <v/>
      </c>
      <c r="P171" s="27" t="str">
        <f t="shared" si="36"/>
        <v/>
      </c>
      <c r="Q171" s="30" t="str">
        <f t="shared" si="37"/>
        <v/>
      </c>
      <c r="R171" s="19"/>
      <c r="S171" s="19" t="str">
        <f t="shared" si="38"/>
        <v/>
      </c>
      <c r="T171" s="19" t="str">
        <f t="shared" si="39"/>
        <v/>
      </c>
      <c r="U171" s="57" t="str">
        <f t="shared" si="40"/>
        <v/>
      </c>
      <c r="V171" s="57" t="str">
        <f t="shared" si="41"/>
        <v/>
      </c>
      <c r="W171" s="63" t="str">
        <f>IF(U171="","",IF(T172="",P$4-SUM(W$14:W170),IF((YEAR(O171)*1000+MONTH(O171))&gt;=P$9,IF((YEAR(O171)*1000+MONTH(O171))=P$9,ROUND(U171,0),ROUND(T171,0)),"")))</f>
        <v/>
      </c>
      <c r="X171" s="59" t="str">
        <f>IF(S$10="","",IF(P171&lt;=S$10,IF(P171=S$10,P$4-SUM(W$14:W170),W171),""))</f>
        <v/>
      </c>
    </row>
    <row r="172" spans="3:24" ht="18.75" hidden="1" customHeight="1" outlineLevel="1" x14ac:dyDescent="0.45">
      <c r="C172" s="124"/>
      <c r="D172" s="105"/>
      <c r="E172" s="131"/>
      <c r="F172" s="71"/>
      <c r="G172" s="78" t="str">
        <f t="shared" si="29"/>
        <v/>
      </c>
      <c r="H172" s="3">
        <f t="shared" si="30"/>
        <v>0</v>
      </c>
      <c r="I172" s="20" t="str">
        <f t="shared" si="31"/>
        <v/>
      </c>
      <c r="J172" s="94" t="str">
        <f t="shared" si="28"/>
        <v/>
      </c>
      <c r="K172" s="20" t="str">
        <f t="shared" si="32"/>
        <v/>
      </c>
      <c r="L172" s="94" t="str">
        <f t="shared" si="33"/>
        <v/>
      </c>
      <c r="M172" s="84" t="str">
        <f t="shared" si="34"/>
        <v/>
      </c>
      <c r="O172" s="36" t="str">
        <f t="shared" si="35"/>
        <v/>
      </c>
      <c r="P172" s="27" t="str">
        <f t="shared" si="36"/>
        <v/>
      </c>
      <c r="Q172" s="30" t="str">
        <f t="shared" si="37"/>
        <v/>
      </c>
      <c r="R172" s="19"/>
      <c r="S172" s="19" t="str">
        <f t="shared" si="38"/>
        <v/>
      </c>
      <c r="T172" s="19" t="str">
        <f t="shared" si="39"/>
        <v/>
      </c>
      <c r="U172" s="57" t="str">
        <f t="shared" si="40"/>
        <v/>
      </c>
      <c r="V172" s="57" t="str">
        <f t="shared" si="41"/>
        <v/>
      </c>
      <c r="W172" s="63" t="str">
        <f>IF(U172="","",IF(T173="",P$4-SUM(W$14:W171),IF((YEAR(O172)*1000+MONTH(O172))&gt;=P$9,IF((YEAR(O172)*1000+MONTH(O172))=P$9,ROUND(U172,0),ROUND(T172,0)),"")))</f>
        <v/>
      </c>
      <c r="X172" s="59" t="str">
        <f>IF(S$10="","",IF(P172&lt;=S$10,IF(P172=S$10,P$4-SUM(W$14:W171),W172),""))</f>
        <v/>
      </c>
    </row>
    <row r="173" spans="3:24" ht="15" hidden="1" customHeight="1" outlineLevel="1" x14ac:dyDescent="0.45">
      <c r="C173" s="124"/>
      <c r="D173" s="105"/>
      <c r="E173" s="131"/>
      <c r="F173" s="71"/>
      <c r="G173" s="78" t="str">
        <f t="shared" si="29"/>
        <v/>
      </c>
      <c r="H173" s="3">
        <f t="shared" si="30"/>
        <v>0</v>
      </c>
      <c r="I173" s="20" t="str">
        <f t="shared" si="31"/>
        <v/>
      </c>
      <c r="J173" s="94" t="str">
        <f t="shared" si="28"/>
        <v/>
      </c>
      <c r="K173" s="20" t="str">
        <f t="shared" si="32"/>
        <v/>
      </c>
      <c r="L173" s="94" t="str">
        <f t="shared" si="33"/>
        <v/>
      </c>
      <c r="M173" s="84" t="str">
        <f t="shared" si="34"/>
        <v/>
      </c>
      <c r="O173" s="36" t="str">
        <f t="shared" si="35"/>
        <v/>
      </c>
      <c r="P173" s="27" t="str">
        <f t="shared" si="36"/>
        <v/>
      </c>
      <c r="Q173" s="30" t="str">
        <f t="shared" si="37"/>
        <v/>
      </c>
      <c r="R173" s="19"/>
      <c r="S173" s="19" t="str">
        <f t="shared" si="38"/>
        <v/>
      </c>
      <c r="T173" s="19" t="str">
        <f t="shared" si="39"/>
        <v/>
      </c>
      <c r="U173" s="57" t="str">
        <f t="shared" si="40"/>
        <v/>
      </c>
      <c r="V173" s="57" t="str">
        <f t="shared" si="41"/>
        <v/>
      </c>
      <c r="W173" s="63" t="str">
        <f>IF(U173="","",IF(T174="",P$4-SUM(W$14:W172),IF((YEAR(O173)*1000+MONTH(O173))&gt;=P$9,IF((YEAR(O173)*1000+MONTH(O173))=P$9,ROUND(U173,0),ROUND(T173,0)),"")))</f>
        <v/>
      </c>
      <c r="X173" s="59" t="str">
        <f>IF(S$10="","",IF(P173&lt;=S$10,IF(P173=S$10,P$4-SUM(W$14:W172),W173),""))</f>
        <v/>
      </c>
    </row>
    <row r="174" spans="3:24" ht="15" hidden="1" customHeight="1" outlineLevel="1" x14ac:dyDescent="0.45">
      <c r="C174" s="124"/>
      <c r="D174" s="105"/>
      <c r="E174" s="131"/>
      <c r="F174" s="71"/>
      <c r="G174" s="78" t="str">
        <f t="shared" si="29"/>
        <v/>
      </c>
      <c r="H174" s="3">
        <f t="shared" si="30"/>
        <v>0</v>
      </c>
      <c r="I174" s="20" t="str">
        <f t="shared" si="31"/>
        <v/>
      </c>
      <c r="J174" s="94" t="str">
        <f t="shared" si="28"/>
        <v/>
      </c>
      <c r="K174" s="20" t="str">
        <f t="shared" si="32"/>
        <v/>
      </c>
      <c r="L174" s="94" t="str">
        <f t="shared" si="33"/>
        <v/>
      </c>
      <c r="M174" s="84" t="str">
        <f t="shared" si="34"/>
        <v/>
      </c>
      <c r="O174" s="36" t="str">
        <f t="shared" si="35"/>
        <v/>
      </c>
      <c r="P174" s="27" t="str">
        <f t="shared" si="36"/>
        <v/>
      </c>
      <c r="Q174" s="30" t="str">
        <f t="shared" si="37"/>
        <v/>
      </c>
      <c r="R174" s="19"/>
      <c r="S174" s="19" t="str">
        <f t="shared" si="38"/>
        <v/>
      </c>
      <c r="T174" s="19" t="str">
        <f t="shared" si="39"/>
        <v/>
      </c>
      <c r="U174" s="57" t="str">
        <f t="shared" si="40"/>
        <v/>
      </c>
      <c r="V174" s="57" t="str">
        <f t="shared" si="41"/>
        <v/>
      </c>
      <c r="W174" s="63" t="str">
        <f>IF(U174="","",IF(T175="",P$4-SUM(W$14:W173),IF((YEAR(O174)*1000+MONTH(O174))&gt;=P$9,IF((YEAR(O174)*1000+MONTH(O174))=P$9,ROUND(U174,0),ROUND(T174,0)),"")))</f>
        <v/>
      </c>
      <c r="X174" s="59" t="str">
        <f>IF(S$10="","",IF(P174&lt;=S$10,IF(P174=S$10,P$4-SUM(W$14:W173),W174),""))</f>
        <v/>
      </c>
    </row>
    <row r="175" spans="3:24" ht="15" hidden="1" customHeight="1" outlineLevel="1" x14ac:dyDescent="0.45">
      <c r="C175" s="124"/>
      <c r="D175" s="105"/>
      <c r="E175" s="131"/>
      <c r="F175" s="71"/>
      <c r="G175" s="78" t="str">
        <f t="shared" si="29"/>
        <v/>
      </c>
      <c r="H175" s="3">
        <f t="shared" si="30"/>
        <v>0</v>
      </c>
      <c r="I175" s="20" t="str">
        <f t="shared" si="31"/>
        <v/>
      </c>
      <c r="J175" s="94" t="str">
        <f t="shared" si="28"/>
        <v/>
      </c>
      <c r="K175" s="20" t="str">
        <f t="shared" si="32"/>
        <v/>
      </c>
      <c r="L175" s="94" t="str">
        <f t="shared" si="33"/>
        <v/>
      </c>
      <c r="M175" s="84" t="str">
        <f t="shared" si="34"/>
        <v/>
      </c>
      <c r="O175" s="36" t="str">
        <f t="shared" si="35"/>
        <v/>
      </c>
      <c r="P175" s="27" t="str">
        <f t="shared" si="36"/>
        <v/>
      </c>
      <c r="Q175" s="30" t="str">
        <f t="shared" si="37"/>
        <v/>
      </c>
      <c r="R175" s="19"/>
      <c r="S175" s="19" t="str">
        <f t="shared" si="38"/>
        <v/>
      </c>
      <c r="T175" s="19" t="str">
        <f t="shared" si="39"/>
        <v/>
      </c>
      <c r="U175" s="57" t="str">
        <f t="shared" si="40"/>
        <v/>
      </c>
      <c r="V175" s="57" t="str">
        <f t="shared" si="41"/>
        <v/>
      </c>
      <c r="W175" s="63" t="str">
        <f>IF(U175="","",IF(T176="",P$4-SUM(W$14:W174),IF((YEAR(O175)*1000+MONTH(O175))&gt;=P$9,IF((YEAR(O175)*1000+MONTH(O175))=P$9,ROUND(U175,0),ROUND(T175,0)),"")))</f>
        <v/>
      </c>
      <c r="X175" s="59" t="str">
        <f>IF(S$10="","",IF(P175&lt;=S$10,IF(P175=S$10,P$4-SUM(W$14:W174),W175),""))</f>
        <v/>
      </c>
    </row>
    <row r="176" spans="3:24" ht="15" hidden="1" customHeight="1" outlineLevel="1" x14ac:dyDescent="0.45">
      <c r="C176" s="124"/>
      <c r="D176" s="105"/>
      <c r="E176" s="131"/>
      <c r="F176" s="71"/>
      <c r="G176" s="78" t="str">
        <f t="shared" si="29"/>
        <v/>
      </c>
      <c r="H176" s="3">
        <f t="shared" si="30"/>
        <v>0</v>
      </c>
      <c r="I176" s="20" t="str">
        <f t="shared" si="31"/>
        <v/>
      </c>
      <c r="J176" s="94" t="str">
        <f t="shared" si="28"/>
        <v/>
      </c>
      <c r="K176" s="20" t="str">
        <f t="shared" si="32"/>
        <v/>
      </c>
      <c r="L176" s="94" t="str">
        <f t="shared" si="33"/>
        <v/>
      </c>
      <c r="M176" s="84" t="str">
        <f t="shared" si="34"/>
        <v/>
      </c>
      <c r="O176" s="36" t="str">
        <f t="shared" si="35"/>
        <v/>
      </c>
      <c r="P176" s="27" t="str">
        <f t="shared" si="36"/>
        <v/>
      </c>
      <c r="Q176" s="30" t="str">
        <f t="shared" si="37"/>
        <v/>
      </c>
      <c r="R176" s="19"/>
      <c r="S176" s="19" t="str">
        <f t="shared" si="38"/>
        <v/>
      </c>
      <c r="T176" s="19" t="str">
        <f t="shared" si="39"/>
        <v/>
      </c>
      <c r="U176" s="57" t="str">
        <f t="shared" si="40"/>
        <v/>
      </c>
      <c r="V176" s="57" t="str">
        <f t="shared" si="41"/>
        <v/>
      </c>
      <c r="W176" s="63" t="str">
        <f>IF(U176="","",IF(T177="",P$4-SUM(W$14:W175),IF((YEAR(O176)*1000+MONTH(O176))&gt;=P$9,IF((YEAR(O176)*1000+MONTH(O176))=P$9,ROUND(U176,0),ROUND(T176,0)),"")))</f>
        <v/>
      </c>
      <c r="X176" s="59" t="str">
        <f>IF(S$10="","",IF(P176&lt;=S$10,IF(P176=S$10,P$4-SUM(W$14:W175),W176),""))</f>
        <v/>
      </c>
    </row>
    <row r="177" spans="3:24" ht="15" hidden="1" customHeight="1" outlineLevel="1" x14ac:dyDescent="0.45">
      <c r="C177" s="124"/>
      <c r="D177" s="105"/>
      <c r="E177" s="131"/>
      <c r="F177" s="71"/>
      <c r="G177" s="78" t="str">
        <f t="shared" si="29"/>
        <v/>
      </c>
      <c r="H177" s="3">
        <f t="shared" si="30"/>
        <v>0</v>
      </c>
      <c r="I177" s="20" t="str">
        <f t="shared" si="31"/>
        <v/>
      </c>
      <c r="J177" s="94" t="str">
        <f t="shared" si="28"/>
        <v/>
      </c>
      <c r="K177" s="20" t="str">
        <f t="shared" si="32"/>
        <v/>
      </c>
      <c r="L177" s="94" t="str">
        <f t="shared" si="33"/>
        <v/>
      </c>
      <c r="M177" s="84" t="str">
        <f t="shared" si="34"/>
        <v/>
      </c>
      <c r="O177" s="36" t="str">
        <f t="shared" si="35"/>
        <v/>
      </c>
      <c r="P177" s="27" t="str">
        <f t="shared" si="36"/>
        <v/>
      </c>
      <c r="Q177" s="30" t="str">
        <f t="shared" si="37"/>
        <v/>
      </c>
      <c r="R177" s="19"/>
      <c r="S177" s="19" t="str">
        <f t="shared" si="38"/>
        <v/>
      </c>
      <c r="T177" s="19" t="str">
        <f t="shared" si="39"/>
        <v/>
      </c>
      <c r="U177" s="57" t="str">
        <f t="shared" si="40"/>
        <v/>
      </c>
      <c r="V177" s="57" t="str">
        <f t="shared" si="41"/>
        <v/>
      </c>
      <c r="W177" s="63" t="str">
        <f>IF(U177="","",IF(T178="",P$4-SUM(W$14:W176),IF((YEAR(O177)*1000+MONTH(O177))&gt;=P$9,IF((YEAR(O177)*1000+MONTH(O177))=P$9,ROUND(U177,0),ROUND(T177,0)),"")))</f>
        <v/>
      </c>
      <c r="X177" s="59" t="str">
        <f>IF(S$10="","",IF(P177&lt;=S$10,IF(P177=S$10,P$4-SUM(W$14:W176),W177),""))</f>
        <v/>
      </c>
    </row>
    <row r="178" spans="3:24" ht="15" hidden="1" customHeight="1" outlineLevel="1" x14ac:dyDescent="0.45">
      <c r="C178" s="124"/>
      <c r="D178" s="105"/>
      <c r="E178" s="131"/>
      <c r="F178" s="71"/>
      <c r="G178" s="78" t="str">
        <f t="shared" si="29"/>
        <v/>
      </c>
      <c r="H178" s="3">
        <f t="shared" si="30"/>
        <v>0</v>
      </c>
      <c r="I178" s="20" t="str">
        <f t="shared" si="31"/>
        <v/>
      </c>
      <c r="J178" s="94" t="str">
        <f t="shared" si="28"/>
        <v/>
      </c>
      <c r="K178" s="20" t="str">
        <f t="shared" si="32"/>
        <v/>
      </c>
      <c r="L178" s="94" t="str">
        <f t="shared" si="33"/>
        <v/>
      </c>
      <c r="M178" s="84" t="str">
        <f t="shared" si="34"/>
        <v/>
      </c>
      <c r="O178" s="36" t="str">
        <f t="shared" si="35"/>
        <v/>
      </c>
      <c r="P178" s="27" t="str">
        <f t="shared" si="36"/>
        <v/>
      </c>
      <c r="Q178" s="30" t="str">
        <f t="shared" si="37"/>
        <v/>
      </c>
      <c r="R178" s="19"/>
      <c r="S178" s="19" t="str">
        <f t="shared" si="38"/>
        <v/>
      </c>
      <c r="T178" s="19" t="str">
        <f t="shared" si="39"/>
        <v/>
      </c>
      <c r="U178" s="57" t="str">
        <f t="shared" si="40"/>
        <v/>
      </c>
      <c r="V178" s="57" t="str">
        <f t="shared" si="41"/>
        <v/>
      </c>
      <c r="W178" s="63" t="str">
        <f>IF(U178="","",IF(T179="",P$4-SUM(W$14:W177),IF((YEAR(O178)*1000+MONTH(O178))&gt;=P$9,IF((YEAR(O178)*1000+MONTH(O178))=P$9,ROUND(U178,0),ROUND(T178,0)),"")))</f>
        <v/>
      </c>
      <c r="X178" s="59" t="str">
        <f>IF(S$10="","",IF(P178&lt;=S$10,IF(P178=S$10,P$4-SUM(W$14:W177),W178),""))</f>
        <v/>
      </c>
    </row>
    <row r="179" spans="3:24" ht="15" hidden="1" customHeight="1" outlineLevel="1" x14ac:dyDescent="0.45">
      <c r="C179" s="124"/>
      <c r="D179" s="105"/>
      <c r="E179" s="131"/>
      <c r="F179" s="71"/>
      <c r="G179" s="78" t="str">
        <f t="shared" si="29"/>
        <v/>
      </c>
      <c r="H179" s="3">
        <f t="shared" si="30"/>
        <v>0</v>
      </c>
      <c r="I179" s="20" t="str">
        <f t="shared" si="31"/>
        <v/>
      </c>
      <c r="J179" s="94" t="str">
        <f t="shared" si="28"/>
        <v/>
      </c>
      <c r="K179" s="20" t="str">
        <f t="shared" si="32"/>
        <v/>
      </c>
      <c r="L179" s="94" t="str">
        <f t="shared" si="33"/>
        <v/>
      </c>
      <c r="M179" s="84" t="str">
        <f t="shared" si="34"/>
        <v/>
      </c>
      <c r="O179" s="36" t="str">
        <f t="shared" si="35"/>
        <v/>
      </c>
      <c r="P179" s="27" t="str">
        <f t="shared" si="36"/>
        <v/>
      </c>
      <c r="Q179" s="30" t="str">
        <f t="shared" si="37"/>
        <v/>
      </c>
      <c r="R179" s="19"/>
      <c r="S179" s="19" t="str">
        <f t="shared" si="38"/>
        <v/>
      </c>
      <c r="T179" s="19" t="str">
        <f t="shared" si="39"/>
        <v/>
      </c>
      <c r="U179" s="57" t="str">
        <f t="shared" si="40"/>
        <v/>
      </c>
      <c r="V179" s="57" t="str">
        <f t="shared" si="41"/>
        <v/>
      </c>
      <c r="W179" s="63" t="str">
        <f>IF(U179="","",IF(T180="",P$4-SUM(W$14:W178),IF((YEAR(O179)*1000+MONTH(O179))&gt;=P$9,IF((YEAR(O179)*1000+MONTH(O179))=P$9,ROUND(U179,0),ROUND(T179,0)),"")))</f>
        <v/>
      </c>
      <c r="X179" s="59" t="str">
        <f>IF(S$10="","",IF(P179&lt;=S$10,IF(P179=S$10,P$4-SUM(W$14:W178),W179),""))</f>
        <v/>
      </c>
    </row>
    <row r="180" spans="3:24" ht="15" hidden="1" customHeight="1" outlineLevel="1" x14ac:dyDescent="0.45">
      <c r="C180" s="124"/>
      <c r="D180" s="105"/>
      <c r="E180" s="131"/>
      <c r="F180" s="71"/>
      <c r="G180" s="78" t="str">
        <f t="shared" si="29"/>
        <v/>
      </c>
      <c r="H180" s="3">
        <f t="shared" si="30"/>
        <v>0</v>
      </c>
      <c r="I180" s="20" t="str">
        <f t="shared" si="31"/>
        <v/>
      </c>
      <c r="J180" s="94" t="str">
        <f t="shared" si="28"/>
        <v/>
      </c>
      <c r="K180" s="20" t="str">
        <f t="shared" si="32"/>
        <v/>
      </c>
      <c r="L180" s="94" t="str">
        <f t="shared" si="33"/>
        <v/>
      </c>
      <c r="M180" s="84" t="str">
        <f t="shared" si="34"/>
        <v/>
      </c>
      <c r="O180" s="36" t="str">
        <f t="shared" si="35"/>
        <v/>
      </c>
      <c r="P180" s="27" t="str">
        <f t="shared" si="36"/>
        <v/>
      </c>
      <c r="Q180" s="30" t="str">
        <f t="shared" si="37"/>
        <v/>
      </c>
      <c r="R180" s="19"/>
      <c r="S180" s="19" t="str">
        <f t="shared" si="38"/>
        <v/>
      </c>
      <c r="T180" s="19" t="str">
        <f t="shared" si="39"/>
        <v/>
      </c>
      <c r="U180" s="57" t="str">
        <f t="shared" si="40"/>
        <v/>
      </c>
      <c r="V180" s="57" t="str">
        <f t="shared" si="41"/>
        <v/>
      </c>
      <c r="W180" s="63" t="str">
        <f>IF(U180="","",IF(T181="",P$4-SUM(W$14:W179),IF((YEAR(O180)*1000+MONTH(O180))&gt;=P$9,IF((YEAR(O180)*1000+MONTH(O180))=P$9,ROUND(U180,0),ROUND(T180,0)),"")))</f>
        <v/>
      </c>
      <c r="X180" s="59" t="str">
        <f>IF(S$10="","",IF(P180&lt;=S$10,IF(P180=S$10,P$4-SUM(W$14:W179),W180),""))</f>
        <v/>
      </c>
    </row>
    <row r="181" spans="3:24" ht="15" hidden="1" customHeight="1" outlineLevel="1" x14ac:dyDescent="0.45">
      <c r="C181" s="124"/>
      <c r="D181" s="105"/>
      <c r="E181" s="131"/>
      <c r="F181" s="71"/>
      <c r="G181" s="78" t="str">
        <f t="shared" si="29"/>
        <v/>
      </c>
      <c r="H181" s="3">
        <f t="shared" si="30"/>
        <v>0</v>
      </c>
      <c r="I181" s="20" t="str">
        <f t="shared" si="31"/>
        <v/>
      </c>
      <c r="J181" s="94" t="str">
        <f t="shared" si="28"/>
        <v/>
      </c>
      <c r="K181" s="20" t="str">
        <f t="shared" si="32"/>
        <v/>
      </c>
      <c r="L181" s="94" t="str">
        <f t="shared" si="33"/>
        <v/>
      </c>
      <c r="M181" s="84" t="str">
        <f t="shared" si="34"/>
        <v/>
      </c>
      <c r="O181" s="36" t="str">
        <f t="shared" si="35"/>
        <v/>
      </c>
      <c r="P181" s="27" t="str">
        <f t="shared" si="36"/>
        <v/>
      </c>
      <c r="Q181" s="30" t="str">
        <f t="shared" si="37"/>
        <v/>
      </c>
      <c r="R181" s="19"/>
      <c r="S181" s="19" t="str">
        <f t="shared" si="38"/>
        <v/>
      </c>
      <c r="T181" s="19" t="str">
        <f t="shared" si="39"/>
        <v/>
      </c>
      <c r="U181" s="57" t="str">
        <f t="shared" si="40"/>
        <v/>
      </c>
      <c r="V181" s="57" t="str">
        <f t="shared" si="41"/>
        <v/>
      </c>
      <c r="W181" s="63" t="str">
        <f>IF(U181="","",IF(T182="",P$4-SUM(W$14:W180),IF((YEAR(O181)*1000+MONTH(O181))&gt;=P$9,IF((YEAR(O181)*1000+MONTH(O181))=P$9,ROUND(U181,0),ROUND(T181,0)),"")))</f>
        <v/>
      </c>
      <c r="X181" s="59" t="str">
        <f>IF(S$10="","",IF(P181&lt;=S$10,IF(P181=S$10,P$4-SUM(W$14:W180),W181),""))</f>
        <v/>
      </c>
    </row>
    <row r="182" spans="3:24" ht="15" hidden="1" customHeight="1" outlineLevel="1" x14ac:dyDescent="0.45">
      <c r="C182" s="124"/>
      <c r="D182" s="105"/>
      <c r="E182" s="131"/>
      <c r="F182" s="71"/>
      <c r="G182" s="78" t="str">
        <f t="shared" si="29"/>
        <v/>
      </c>
      <c r="H182" s="3">
        <f t="shared" si="30"/>
        <v>0</v>
      </c>
      <c r="I182" s="20" t="str">
        <f t="shared" si="31"/>
        <v/>
      </c>
      <c r="J182" s="94" t="str">
        <f t="shared" si="28"/>
        <v/>
      </c>
      <c r="K182" s="20" t="str">
        <f t="shared" si="32"/>
        <v/>
      </c>
      <c r="L182" s="94" t="str">
        <f t="shared" si="33"/>
        <v/>
      </c>
      <c r="M182" s="84" t="str">
        <f t="shared" si="34"/>
        <v/>
      </c>
      <c r="O182" s="36" t="str">
        <f t="shared" si="35"/>
        <v/>
      </c>
      <c r="P182" s="27" t="str">
        <f t="shared" si="36"/>
        <v/>
      </c>
      <c r="Q182" s="30" t="str">
        <f t="shared" si="37"/>
        <v/>
      </c>
      <c r="R182" s="19"/>
      <c r="S182" s="19" t="str">
        <f t="shared" si="38"/>
        <v/>
      </c>
      <c r="T182" s="19" t="str">
        <f t="shared" si="39"/>
        <v/>
      </c>
      <c r="U182" s="57" t="str">
        <f t="shared" si="40"/>
        <v/>
      </c>
      <c r="V182" s="57" t="str">
        <f t="shared" si="41"/>
        <v/>
      </c>
      <c r="W182" s="63" t="str">
        <f>IF(U182="","",IF(T183="",P$4-SUM(W$14:W181),IF((YEAR(O182)*1000+MONTH(O182))&gt;=P$9,IF((YEAR(O182)*1000+MONTH(O182))=P$9,ROUND(U182,0),ROUND(T182,0)),"")))</f>
        <v/>
      </c>
      <c r="X182" s="59" t="str">
        <f>IF(S$10="","",IF(P182&lt;=S$10,IF(P182=S$10,P$4-SUM(W$14:W181),W182),""))</f>
        <v/>
      </c>
    </row>
    <row r="183" spans="3:24" ht="15" hidden="1" customHeight="1" outlineLevel="1" x14ac:dyDescent="0.45">
      <c r="C183" s="124"/>
      <c r="D183" s="105"/>
      <c r="E183" s="131"/>
      <c r="F183" s="71"/>
      <c r="G183" s="78" t="str">
        <f t="shared" si="29"/>
        <v/>
      </c>
      <c r="H183" s="3">
        <f t="shared" si="30"/>
        <v>0</v>
      </c>
      <c r="I183" s="20" t="str">
        <f t="shared" si="31"/>
        <v/>
      </c>
      <c r="J183" s="94" t="str">
        <f t="shared" si="28"/>
        <v/>
      </c>
      <c r="K183" s="20" t="str">
        <f t="shared" si="32"/>
        <v/>
      </c>
      <c r="L183" s="94" t="str">
        <f t="shared" si="33"/>
        <v/>
      </c>
      <c r="M183" s="84" t="str">
        <f t="shared" si="34"/>
        <v/>
      </c>
      <c r="O183" s="36" t="str">
        <f t="shared" si="35"/>
        <v/>
      </c>
      <c r="P183" s="27" t="str">
        <f t="shared" si="36"/>
        <v/>
      </c>
      <c r="Q183" s="30" t="str">
        <f t="shared" si="37"/>
        <v/>
      </c>
      <c r="R183" s="19"/>
      <c r="S183" s="19" t="str">
        <f t="shared" si="38"/>
        <v/>
      </c>
      <c r="T183" s="19" t="str">
        <f t="shared" si="39"/>
        <v/>
      </c>
      <c r="U183" s="57" t="str">
        <f t="shared" si="40"/>
        <v/>
      </c>
      <c r="V183" s="57" t="str">
        <f t="shared" si="41"/>
        <v/>
      </c>
      <c r="W183" s="63" t="str">
        <f>IF(U183="","",IF(T184="",P$4-SUM(W$14:W182),IF((YEAR(O183)*1000+MONTH(O183))&gt;=P$9,IF((YEAR(O183)*1000+MONTH(O183))=P$9,ROUND(U183,0),ROUND(T183,0)),"")))</f>
        <v/>
      </c>
      <c r="X183" s="59" t="str">
        <f>IF(S$10="","",IF(P183&lt;=S$10,IF(P183=S$10,P$4-SUM(W$14:W182),W183),""))</f>
        <v/>
      </c>
    </row>
    <row r="184" spans="3:24" ht="15" hidden="1" customHeight="1" outlineLevel="1" x14ac:dyDescent="0.45">
      <c r="C184" s="124"/>
      <c r="D184" s="105"/>
      <c r="E184" s="131"/>
      <c r="F184" s="71"/>
      <c r="G184" s="78" t="str">
        <f t="shared" si="29"/>
        <v/>
      </c>
      <c r="H184" s="3">
        <f t="shared" si="30"/>
        <v>0</v>
      </c>
      <c r="I184" s="20" t="str">
        <f t="shared" si="31"/>
        <v/>
      </c>
      <c r="J184" s="94" t="str">
        <f t="shared" si="28"/>
        <v/>
      </c>
      <c r="K184" s="20" t="str">
        <f t="shared" si="32"/>
        <v/>
      </c>
      <c r="L184" s="94" t="str">
        <f t="shared" si="33"/>
        <v/>
      </c>
      <c r="M184" s="84" t="str">
        <f t="shared" si="34"/>
        <v/>
      </c>
      <c r="O184" s="36" t="str">
        <f t="shared" si="35"/>
        <v/>
      </c>
      <c r="P184" s="27" t="str">
        <f t="shared" si="36"/>
        <v/>
      </c>
      <c r="Q184" s="30" t="str">
        <f t="shared" si="37"/>
        <v/>
      </c>
      <c r="R184" s="19"/>
      <c r="S184" s="19" t="str">
        <f t="shared" si="38"/>
        <v/>
      </c>
      <c r="T184" s="19" t="str">
        <f t="shared" si="39"/>
        <v/>
      </c>
      <c r="U184" s="57" t="str">
        <f t="shared" si="40"/>
        <v/>
      </c>
      <c r="V184" s="57" t="str">
        <f t="shared" si="41"/>
        <v/>
      </c>
      <c r="W184" s="63" t="str">
        <f>IF(U184="","",IF(T185="",P$4-SUM(W$14:W183),IF((YEAR(O184)*1000+MONTH(O184))&gt;=P$9,IF((YEAR(O184)*1000+MONTH(O184))=P$9,ROUND(U184,0),ROUND(T184,0)),"")))</f>
        <v/>
      </c>
      <c r="X184" s="59" t="str">
        <f>IF(S$10="","",IF(P184&lt;=S$10,IF(P184=S$10,P$4-SUM(W$14:W183),W184),""))</f>
        <v/>
      </c>
    </row>
    <row r="185" spans="3:24" ht="15" hidden="1" customHeight="1" outlineLevel="1" x14ac:dyDescent="0.45">
      <c r="C185" s="124"/>
      <c r="D185" s="105"/>
      <c r="E185" s="131"/>
      <c r="F185" s="71"/>
      <c r="G185" s="78" t="str">
        <f t="shared" si="29"/>
        <v/>
      </c>
      <c r="H185" s="3">
        <f t="shared" si="30"/>
        <v>0</v>
      </c>
      <c r="I185" s="20" t="str">
        <f t="shared" si="31"/>
        <v/>
      </c>
      <c r="J185" s="94" t="str">
        <f t="shared" si="28"/>
        <v/>
      </c>
      <c r="K185" s="20" t="str">
        <f t="shared" si="32"/>
        <v/>
      </c>
      <c r="L185" s="94" t="str">
        <f t="shared" si="33"/>
        <v/>
      </c>
      <c r="M185" s="84" t="str">
        <f t="shared" si="34"/>
        <v/>
      </c>
      <c r="O185" s="36" t="str">
        <f t="shared" si="35"/>
        <v/>
      </c>
      <c r="P185" s="27" t="str">
        <f t="shared" si="36"/>
        <v/>
      </c>
      <c r="Q185" s="30" t="str">
        <f t="shared" si="37"/>
        <v/>
      </c>
      <c r="R185" s="19"/>
      <c r="S185" s="19" t="str">
        <f t="shared" si="38"/>
        <v/>
      </c>
      <c r="T185" s="19" t="str">
        <f t="shared" si="39"/>
        <v/>
      </c>
      <c r="U185" s="57" t="str">
        <f t="shared" si="40"/>
        <v/>
      </c>
      <c r="V185" s="57" t="str">
        <f t="shared" si="41"/>
        <v/>
      </c>
      <c r="W185" s="63" t="str">
        <f>IF(U185="","",IF(T186="",P$4-SUM(W$14:W184),IF((YEAR(O185)*1000+MONTH(O185))&gt;=P$9,IF((YEAR(O185)*1000+MONTH(O185))=P$9,ROUND(U185,0),ROUND(T185,0)),"")))</f>
        <v/>
      </c>
      <c r="X185" s="59" t="str">
        <f>IF(S$10="","",IF(P185&lt;=S$10,IF(P185=S$10,P$4-SUM(W$14:W184),W185),""))</f>
        <v/>
      </c>
    </row>
    <row r="186" spans="3:24" ht="15" hidden="1" customHeight="1" outlineLevel="1" x14ac:dyDescent="0.45">
      <c r="C186" s="124"/>
      <c r="D186" s="105"/>
      <c r="E186" s="131"/>
      <c r="F186" s="71"/>
      <c r="G186" s="78" t="str">
        <f t="shared" si="29"/>
        <v/>
      </c>
      <c r="H186" s="3">
        <f t="shared" si="30"/>
        <v>0</v>
      </c>
      <c r="I186" s="20" t="str">
        <f t="shared" si="31"/>
        <v/>
      </c>
      <c r="J186" s="94" t="str">
        <f t="shared" si="28"/>
        <v/>
      </c>
      <c r="K186" s="20" t="str">
        <f t="shared" si="32"/>
        <v/>
      </c>
      <c r="L186" s="94" t="str">
        <f t="shared" si="33"/>
        <v/>
      </c>
      <c r="M186" s="84" t="str">
        <f t="shared" si="34"/>
        <v/>
      </c>
      <c r="O186" s="36" t="str">
        <f t="shared" si="35"/>
        <v/>
      </c>
      <c r="P186" s="27" t="str">
        <f t="shared" si="36"/>
        <v/>
      </c>
      <c r="Q186" s="30" t="str">
        <f t="shared" si="37"/>
        <v/>
      </c>
      <c r="R186" s="19"/>
      <c r="S186" s="19" t="str">
        <f t="shared" si="38"/>
        <v/>
      </c>
      <c r="T186" s="19" t="str">
        <f t="shared" si="39"/>
        <v/>
      </c>
      <c r="U186" s="57" t="str">
        <f t="shared" si="40"/>
        <v/>
      </c>
      <c r="V186" s="57" t="str">
        <f t="shared" si="41"/>
        <v/>
      </c>
      <c r="W186" s="63" t="str">
        <f>IF(U186="","",IF(T187="",P$4-SUM(W$14:W185),IF((YEAR(O186)*1000+MONTH(O186))&gt;=P$9,IF((YEAR(O186)*1000+MONTH(O186))=P$9,ROUND(U186,0),ROUND(T186,0)),"")))</f>
        <v/>
      </c>
      <c r="X186" s="59" t="str">
        <f>IF(S$10="","",IF(P186&lt;=S$10,IF(P186=S$10,P$4-SUM(W$14:W185),W186),""))</f>
        <v/>
      </c>
    </row>
    <row r="187" spans="3:24" ht="15" hidden="1" customHeight="1" outlineLevel="1" x14ac:dyDescent="0.45">
      <c r="C187" s="124"/>
      <c r="D187" s="105"/>
      <c r="E187" s="131"/>
      <c r="F187" s="71"/>
      <c r="G187" s="78" t="str">
        <f t="shared" si="29"/>
        <v/>
      </c>
      <c r="H187" s="3">
        <f t="shared" si="30"/>
        <v>0</v>
      </c>
      <c r="I187" s="20" t="str">
        <f t="shared" si="31"/>
        <v/>
      </c>
      <c r="J187" s="94" t="str">
        <f t="shared" si="28"/>
        <v/>
      </c>
      <c r="K187" s="20" t="str">
        <f t="shared" si="32"/>
        <v/>
      </c>
      <c r="L187" s="94" t="str">
        <f t="shared" si="33"/>
        <v/>
      </c>
      <c r="M187" s="84" t="str">
        <f t="shared" si="34"/>
        <v/>
      </c>
      <c r="O187" s="36" t="str">
        <f t="shared" si="35"/>
        <v/>
      </c>
      <c r="P187" s="27" t="str">
        <f t="shared" si="36"/>
        <v/>
      </c>
      <c r="Q187" s="30" t="str">
        <f t="shared" si="37"/>
        <v/>
      </c>
      <c r="R187" s="19"/>
      <c r="S187" s="19" t="str">
        <f t="shared" si="38"/>
        <v/>
      </c>
      <c r="T187" s="19" t="str">
        <f t="shared" si="39"/>
        <v/>
      </c>
      <c r="U187" s="57" t="str">
        <f t="shared" si="40"/>
        <v/>
      </c>
      <c r="V187" s="57" t="str">
        <f t="shared" si="41"/>
        <v/>
      </c>
      <c r="W187" s="63" t="str">
        <f>IF(U187="","",IF(T188="",P$4-SUM(W$14:W186),IF((YEAR(O187)*1000+MONTH(O187))&gt;=P$9,IF((YEAR(O187)*1000+MONTH(O187))=P$9,ROUND(U187,0),ROUND(T187,0)),"")))</f>
        <v/>
      </c>
      <c r="X187" s="59" t="str">
        <f>IF(S$10="","",IF(P187&lt;=S$10,IF(P187=S$10,P$4-SUM(W$14:W186),W187),""))</f>
        <v/>
      </c>
    </row>
    <row r="188" spans="3:24" ht="15" hidden="1" customHeight="1" outlineLevel="1" x14ac:dyDescent="0.45">
      <c r="C188" s="124"/>
      <c r="D188" s="105"/>
      <c r="E188" s="131"/>
      <c r="F188" s="71"/>
      <c r="G188" s="78" t="str">
        <f t="shared" si="29"/>
        <v/>
      </c>
      <c r="H188" s="3">
        <f t="shared" si="30"/>
        <v>0</v>
      </c>
      <c r="I188" s="20" t="str">
        <f t="shared" si="31"/>
        <v/>
      </c>
      <c r="J188" s="94" t="str">
        <f t="shared" si="28"/>
        <v/>
      </c>
      <c r="K188" s="20" t="str">
        <f t="shared" si="32"/>
        <v/>
      </c>
      <c r="L188" s="94" t="str">
        <f t="shared" si="33"/>
        <v/>
      </c>
      <c r="M188" s="84" t="str">
        <f t="shared" si="34"/>
        <v/>
      </c>
      <c r="O188" s="36" t="str">
        <f t="shared" si="35"/>
        <v/>
      </c>
      <c r="P188" s="27" t="str">
        <f t="shared" si="36"/>
        <v/>
      </c>
      <c r="Q188" s="30" t="str">
        <f t="shared" si="37"/>
        <v/>
      </c>
      <c r="R188" s="19"/>
      <c r="S188" s="19" t="str">
        <f t="shared" si="38"/>
        <v/>
      </c>
      <c r="T188" s="19" t="str">
        <f t="shared" si="39"/>
        <v/>
      </c>
      <c r="U188" s="57" t="str">
        <f t="shared" si="40"/>
        <v/>
      </c>
      <c r="V188" s="57" t="str">
        <f t="shared" si="41"/>
        <v/>
      </c>
      <c r="W188" s="63" t="str">
        <f>IF(U188="","",IF(T189="",P$4-SUM(W$14:W187),IF((YEAR(O188)*1000+MONTH(O188))&gt;=P$9,IF((YEAR(O188)*1000+MONTH(O188))=P$9,ROUND(U188,0),ROUND(T188,0)),"")))</f>
        <v/>
      </c>
      <c r="X188" s="59" t="str">
        <f>IF(S$10="","",IF(P188&lt;=S$10,IF(P188=S$10,P$4-SUM(W$14:W187),W188),""))</f>
        <v/>
      </c>
    </row>
    <row r="189" spans="3:24" ht="15" hidden="1" customHeight="1" outlineLevel="1" x14ac:dyDescent="0.45">
      <c r="C189" s="124"/>
      <c r="D189" s="105"/>
      <c r="E189" s="131"/>
      <c r="F189" s="71"/>
      <c r="G189" s="78" t="str">
        <f t="shared" si="29"/>
        <v/>
      </c>
      <c r="H189" s="3">
        <f t="shared" si="30"/>
        <v>0</v>
      </c>
      <c r="I189" s="20" t="str">
        <f t="shared" si="31"/>
        <v/>
      </c>
      <c r="J189" s="94" t="str">
        <f t="shared" si="28"/>
        <v/>
      </c>
      <c r="K189" s="20" t="str">
        <f t="shared" si="32"/>
        <v/>
      </c>
      <c r="L189" s="94" t="str">
        <f t="shared" si="33"/>
        <v/>
      </c>
      <c r="M189" s="84" t="str">
        <f t="shared" si="34"/>
        <v/>
      </c>
      <c r="O189" s="36" t="str">
        <f t="shared" si="35"/>
        <v/>
      </c>
      <c r="P189" s="27" t="str">
        <f t="shared" si="36"/>
        <v/>
      </c>
      <c r="Q189" s="30" t="str">
        <f t="shared" si="37"/>
        <v/>
      </c>
      <c r="R189" s="19"/>
      <c r="S189" s="19" t="str">
        <f t="shared" si="38"/>
        <v/>
      </c>
      <c r="T189" s="19" t="str">
        <f t="shared" si="39"/>
        <v/>
      </c>
      <c r="U189" s="57" t="str">
        <f t="shared" si="40"/>
        <v/>
      </c>
      <c r="V189" s="57" t="str">
        <f t="shared" si="41"/>
        <v/>
      </c>
      <c r="W189" s="63" t="str">
        <f>IF(U189="","",IF(T190="",P$4-SUM(W$14:W188),IF((YEAR(O189)*1000+MONTH(O189))&gt;=P$9,IF((YEAR(O189)*1000+MONTH(O189))=P$9,ROUND(U189,0),ROUND(T189,0)),"")))</f>
        <v/>
      </c>
      <c r="X189" s="59" t="str">
        <f>IF(S$10="","",IF(P189&lt;=S$10,IF(P189=S$10,P$4-SUM(W$14:W188),W189),""))</f>
        <v/>
      </c>
    </row>
    <row r="190" spans="3:24" ht="15" hidden="1" customHeight="1" outlineLevel="1" x14ac:dyDescent="0.45">
      <c r="C190" s="124"/>
      <c r="D190" s="105"/>
      <c r="E190" s="131"/>
      <c r="F190" s="71"/>
      <c r="G190" s="78" t="str">
        <f t="shared" si="29"/>
        <v/>
      </c>
      <c r="H190" s="3">
        <f t="shared" si="30"/>
        <v>0</v>
      </c>
      <c r="I190" s="20" t="str">
        <f t="shared" si="31"/>
        <v/>
      </c>
      <c r="J190" s="94" t="str">
        <f t="shared" si="28"/>
        <v/>
      </c>
      <c r="K190" s="20" t="str">
        <f t="shared" si="32"/>
        <v/>
      </c>
      <c r="L190" s="94" t="str">
        <f t="shared" si="33"/>
        <v/>
      </c>
      <c r="M190" s="84" t="str">
        <f t="shared" si="34"/>
        <v/>
      </c>
      <c r="O190" s="36" t="str">
        <f t="shared" si="35"/>
        <v/>
      </c>
      <c r="P190" s="27" t="str">
        <f t="shared" si="36"/>
        <v/>
      </c>
      <c r="Q190" s="30" t="str">
        <f t="shared" si="37"/>
        <v/>
      </c>
      <c r="R190" s="19"/>
      <c r="S190" s="19" t="str">
        <f t="shared" si="38"/>
        <v/>
      </c>
      <c r="T190" s="19" t="str">
        <f t="shared" si="39"/>
        <v/>
      </c>
      <c r="U190" s="57" t="str">
        <f t="shared" si="40"/>
        <v/>
      </c>
      <c r="V190" s="57" t="str">
        <f t="shared" si="41"/>
        <v/>
      </c>
      <c r="W190" s="63" t="str">
        <f>IF(U190="","",IF(T191="",P$4-SUM(W$14:W189),IF((YEAR(O190)*1000+MONTH(O190))&gt;=P$9,IF((YEAR(O190)*1000+MONTH(O190))=P$9,ROUND(U190,0),ROUND(T190,0)),"")))</f>
        <v/>
      </c>
      <c r="X190" s="59" t="str">
        <f>IF(S$10="","",IF(P190&lt;=S$10,IF(P190=S$10,P$4-SUM(W$14:W189),W190),""))</f>
        <v/>
      </c>
    </row>
    <row r="191" spans="3:24" ht="15" hidden="1" customHeight="1" outlineLevel="1" x14ac:dyDescent="0.45">
      <c r="C191" s="124"/>
      <c r="D191" s="105"/>
      <c r="E191" s="131"/>
      <c r="F191" s="71"/>
      <c r="G191" s="78" t="str">
        <f t="shared" si="29"/>
        <v/>
      </c>
      <c r="H191" s="3">
        <f t="shared" si="30"/>
        <v>0</v>
      </c>
      <c r="I191" s="20" t="str">
        <f t="shared" si="31"/>
        <v/>
      </c>
      <c r="J191" s="94" t="str">
        <f t="shared" si="28"/>
        <v/>
      </c>
      <c r="K191" s="20" t="str">
        <f t="shared" si="32"/>
        <v/>
      </c>
      <c r="L191" s="94" t="str">
        <f t="shared" si="33"/>
        <v/>
      </c>
      <c r="M191" s="84" t="str">
        <f t="shared" si="34"/>
        <v/>
      </c>
      <c r="O191" s="36" t="str">
        <f t="shared" si="35"/>
        <v/>
      </c>
      <c r="P191" s="27" t="str">
        <f t="shared" si="36"/>
        <v/>
      </c>
      <c r="Q191" s="30" t="str">
        <f t="shared" si="37"/>
        <v/>
      </c>
      <c r="R191" s="19"/>
      <c r="S191" s="19" t="str">
        <f t="shared" si="38"/>
        <v/>
      </c>
      <c r="T191" s="19" t="str">
        <f t="shared" si="39"/>
        <v/>
      </c>
      <c r="U191" s="57" t="str">
        <f t="shared" si="40"/>
        <v/>
      </c>
      <c r="V191" s="57" t="str">
        <f t="shared" si="41"/>
        <v/>
      </c>
      <c r="W191" s="63" t="str">
        <f>IF(U191="","",IF(T192="",P$4-SUM(W$14:W190),IF((YEAR(O191)*1000+MONTH(O191))&gt;=P$9,IF((YEAR(O191)*1000+MONTH(O191))=P$9,ROUND(U191,0),ROUND(T191,0)),"")))</f>
        <v/>
      </c>
      <c r="X191" s="59" t="str">
        <f>IF(S$10="","",IF(P191&lt;=S$10,IF(P191=S$10,P$4-SUM(W$14:W190),W191),""))</f>
        <v/>
      </c>
    </row>
    <row r="192" spans="3:24" ht="15" hidden="1" customHeight="1" outlineLevel="1" x14ac:dyDescent="0.45">
      <c r="C192" s="124"/>
      <c r="D192" s="105"/>
      <c r="E192" s="131"/>
      <c r="F192" s="71"/>
      <c r="G192" s="78" t="str">
        <f t="shared" si="29"/>
        <v/>
      </c>
      <c r="H192" s="3">
        <f t="shared" si="30"/>
        <v>0</v>
      </c>
      <c r="I192" s="20" t="str">
        <f t="shared" si="31"/>
        <v/>
      </c>
      <c r="J192" s="94" t="str">
        <f t="shared" si="28"/>
        <v/>
      </c>
      <c r="K192" s="20" t="str">
        <f t="shared" si="32"/>
        <v/>
      </c>
      <c r="L192" s="94" t="str">
        <f t="shared" si="33"/>
        <v/>
      </c>
      <c r="M192" s="84" t="str">
        <f t="shared" si="34"/>
        <v/>
      </c>
      <c r="O192" s="36" t="str">
        <f t="shared" si="35"/>
        <v/>
      </c>
      <c r="P192" s="27" t="str">
        <f t="shared" si="36"/>
        <v/>
      </c>
      <c r="Q192" s="30" t="str">
        <f t="shared" si="37"/>
        <v/>
      </c>
      <c r="R192" s="19"/>
      <c r="S192" s="19" t="str">
        <f t="shared" si="38"/>
        <v/>
      </c>
      <c r="T192" s="19" t="str">
        <f t="shared" si="39"/>
        <v/>
      </c>
      <c r="U192" s="57" t="str">
        <f t="shared" si="40"/>
        <v/>
      </c>
      <c r="V192" s="57" t="str">
        <f t="shared" si="41"/>
        <v/>
      </c>
      <c r="W192" s="63" t="str">
        <f>IF(U192="","",IF(T193="",P$4-SUM(W$14:W191),IF((YEAR(O192)*1000+MONTH(O192))&gt;=P$9,IF((YEAR(O192)*1000+MONTH(O192))=P$9,ROUND(U192,0),ROUND(T192,0)),"")))</f>
        <v/>
      </c>
      <c r="X192" s="59" t="str">
        <f>IF(S$10="","",IF(P192&lt;=S$10,IF(P192=S$10,P$4-SUM(W$14:W191),W192),""))</f>
        <v/>
      </c>
    </row>
    <row r="193" spans="3:24" ht="15" hidden="1" customHeight="1" outlineLevel="1" x14ac:dyDescent="0.45">
      <c r="C193" s="124"/>
      <c r="D193" s="105"/>
      <c r="E193" s="131"/>
      <c r="F193" s="71"/>
      <c r="G193" s="78" t="str">
        <f t="shared" si="29"/>
        <v/>
      </c>
      <c r="H193" s="3">
        <f t="shared" si="30"/>
        <v>0</v>
      </c>
      <c r="I193" s="20" t="str">
        <f t="shared" si="31"/>
        <v/>
      </c>
      <c r="J193" s="94" t="str">
        <f t="shared" si="28"/>
        <v/>
      </c>
      <c r="K193" s="20" t="str">
        <f t="shared" si="32"/>
        <v/>
      </c>
      <c r="L193" s="94" t="str">
        <f t="shared" si="33"/>
        <v/>
      </c>
      <c r="M193" s="84" t="str">
        <f t="shared" si="34"/>
        <v/>
      </c>
      <c r="O193" s="36" t="str">
        <f t="shared" si="35"/>
        <v/>
      </c>
      <c r="P193" s="27" t="str">
        <f t="shared" si="36"/>
        <v/>
      </c>
      <c r="Q193" s="30" t="str">
        <f t="shared" si="37"/>
        <v/>
      </c>
      <c r="R193" s="19"/>
      <c r="S193" s="19" t="str">
        <f t="shared" si="38"/>
        <v/>
      </c>
      <c r="T193" s="19" t="str">
        <f t="shared" si="39"/>
        <v/>
      </c>
      <c r="U193" s="57" t="str">
        <f t="shared" si="40"/>
        <v/>
      </c>
      <c r="V193" s="57" t="str">
        <f t="shared" si="41"/>
        <v/>
      </c>
      <c r="W193" s="63" t="str">
        <f>IF(U193="","",IF(T194="",P$4-SUM(W$14:W192),IF((YEAR(O193)*1000+MONTH(O193))&gt;=P$9,IF((YEAR(O193)*1000+MONTH(O193))=P$9,ROUND(U193,0),ROUND(T193,0)),"")))</f>
        <v/>
      </c>
      <c r="X193" s="59" t="str">
        <f>IF(S$10="","",IF(P193&lt;=S$10,IF(P193=S$10,P$4-SUM(W$14:W192),W193),""))</f>
        <v/>
      </c>
    </row>
    <row r="194" spans="3:24" ht="15" hidden="1" customHeight="1" outlineLevel="1" x14ac:dyDescent="0.45">
      <c r="C194" s="124"/>
      <c r="D194" s="105"/>
      <c r="E194" s="131"/>
      <c r="F194" s="71"/>
      <c r="G194" s="78" t="str">
        <f t="shared" si="29"/>
        <v/>
      </c>
      <c r="H194" s="3">
        <f t="shared" si="30"/>
        <v>0</v>
      </c>
      <c r="I194" s="20" t="str">
        <f t="shared" si="31"/>
        <v/>
      </c>
      <c r="J194" s="94" t="str">
        <f t="shared" si="28"/>
        <v/>
      </c>
      <c r="K194" s="20" t="str">
        <f t="shared" si="32"/>
        <v/>
      </c>
      <c r="L194" s="94" t="str">
        <f t="shared" si="33"/>
        <v/>
      </c>
      <c r="M194" s="84" t="str">
        <f t="shared" si="34"/>
        <v/>
      </c>
      <c r="O194" s="36" t="str">
        <f t="shared" si="35"/>
        <v/>
      </c>
      <c r="P194" s="27" t="str">
        <f t="shared" si="36"/>
        <v/>
      </c>
      <c r="Q194" s="30" t="str">
        <f t="shared" si="37"/>
        <v/>
      </c>
      <c r="R194" s="19"/>
      <c r="S194" s="19" t="str">
        <f t="shared" si="38"/>
        <v/>
      </c>
      <c r="T194" s="19" t="str">
        <f t="shared" si="39"/>
        <v/>
      </c>
      <c r="U194" s="57" t="str">
        <f t="shared" si="40"/>
        <v/>
      </c>
      <c r="V194" s="57" t="str">
        <f t="shared" si="41"/>
        <v/>
      </c>
      <c r="W194" s="63" t="str">
        <f>IF(U194="","",IF(T195="",P$4-SUM(W$14:W193),IF((YEAR(O194)*1000+MONTH(O194))&gt;=P$9,IF((YEAR(O194)*1000+MONTH(O194))=P$9,ROUND(U194,0),ROUND(T194,0)),"")))</f>
        <v/>
      </c>
      <c r="X194" s="59" t="str">
        <f>IF(S$10="","",IF(P194&lt;=S$10,IF(P194=S$10,P$4-SUM(W$14:W193),W194),""))</f>
        <v/>
      </c>
    </row>
    <row r="195" spans="3:24" ht="15" hidden="1" customHeight="1" outlineLevel="1" x14ac:dyDescent="0.45">
      <c r="C195" s="124"/>
      <c r="D195" s="105"/>
      <c r="E195" s="131"/>
      <c r="F195" s="71"/>
      <c r="G195" s="78" t="str">
        <f t="shared" si="29"/>
        <v/>
      </c>
      <c r="H195" s="3">
        <f t="shared" si="30"/>
        <v>0</v>
      </c>
      <c r="I195" s="20" t="str">
        <f t="shared" si="31"/>
        <v/>
      </c>
      <c r="J195" s="94" t="str">
        <f t="shared" si="28"/>
        <v/>
      </c>
      <c r="K195" s="20" t="str">
        <f t="shared" si="32"/>
        <v/>
      </c>
      <c r="L195" s="94" t="str">
        <f t="shared" si="33"/>
        <v/>
      </c>
      <c r="M195" s="84" t="str">
        <f t="shared" si="34"/>
        <v/>
      </c>
      <c r="O195" s="36" t="str">
        <f t="shared" si="35"/>
        <v/>
      </c>
      <c r="P195" s="27" t="str">
        <f t="shared" si="36"/>
        <v/>
      </c>
      <c r="Q195" s="30" t="str">
        <f t="shared" si="37"/>
        <v/>
      </c>
      <c r="R195" s="19"/>
      <c r="S195" s="19" t="str">
        <f t="shared" si="38"/>
        <v/>
      </c>
      <c r="T195" s="19" t="str">
        <f t="shared" si="39"/>
        <v/>
      </c>
      <c r="U195" s="57" t="str">
        <f t="shared" si="40"/>
        <v/>
      </c>
      <c r="V195" s="57" t="str">
        <f t="shared" si="41"/>
        <v/>
      </c>
      <c r="W195" s="63" t="str">
        <f>IF(U195="","",IF(T196="",P$4-SUM(W$14:W194),IF((YEAR(O195)*1000+MONTH(O195))&gt;=P$9,IF((YEAR(O195)*1000+MONTH(O195))=P$9,ROUND(U195,0),ROUND(T195,0)),"")))</f>
        <v/>
      </c>
      <c r="X195" s="59" t="str">
        <f>IF(S$10="","",IF(P195&lt;=S$10,IF(P195=S$10,P$4-SUM(W$14:W194),W195),""))</f>
        <v/>
      </c>
    </row>
    <row r="196" spans="3:24" ht="15" hidden="1" customHeight="1" outlineLevel="1" x14ac:dyDescent="0.45">
      <c r="C196" s="124"/>
      <c r="D196" s="105"/>
      <c r="E196" s="131"/>
      <c r="F196" s="71"/>
      <c r="G196" s="78" t="str">
        <f t="shared" si="29"/>
        <v/>
      </c>
      <c r="H196" s="3">
        <f t="shared" si="30"/>
        <v>0</v>
      </c>
      <c r="I196" s="20" t="str">
        <f t="shared" si="31"/>
        <v/>
      </c>
      <c r="J196" s="94" t="str">
        <f t="shared" si="28"/>
        <v/>
      </c>
      <c r="K196" s="20" t="str">
        <f t="shared" si="32"/>
        <v/>
      </c>
      <c r="L196" s="94" t="str">
        <f t="shared" si="33"/>
        <v/>
      </c>
      <c r="M196" s="84" t="str">
        <f t="shared" si="34"/>
        <v/>
      </c>
      <c r="O196" s="36" t="str">
        <f t="shared" si="35"/>
        <v/>
      </c>
      <c r="P196" s="27" t="str">
        <f t="shared" si="36"/>
        <v/>
      </c>
      <c r="Q196" s="30" t="str">
        <f t="shared" si="37"/>
        <v/>
      </c>
      <c r="R196" s="19"/>
      <c r="S196" s="19" t="str">
        <f t="shared" si="38"/>
        <v/>
      </c>
      <c r="T196" s="19" t="str">
        <f t="shared" si="39"/>
        <v/>
      </c>
      <c r="U196" s="57" t="str">
        <f t="shared" si="40"/>
        <v/>
      </c>
      <c r="V196" s="57" t="str">
        <f t="shared" si="41"/>
        <v/>
      </c>
      <c r="W196" s="63" t="str">
        <f>IF(U196="","",IF(T197="",P$4-SUM(W$14:W195),IF((YEAR(O196)*1000+MONTH(O196))&gt;=P$9,IF((YEAR(O196)*1000+MONTH(O196))=P$9,ROUND(U196,0),ROUND(T196,0)),"")))</f>
        <v/>
      </c>
      <c r="X196" s="59" t="str">
        <f>IF(S$10="","",IF(P196&lt;=S$10,IF(P196=S$10,P$4-SUM(W$14:W195),W196),""))</f>
        <v/>
      </c>
    </row>
    <row r="197" spans="3:24" ht="15" hidden="1" customHeight="1" outlineLevel="1" x14ac:dyDescent="0.45">
      <c r="C197" s="124"/>
      <c r="D197" s="105"/>
      <c r="E197" s="131"/>
      <c r="F197" s="71"/>
      <c r="G197" s="78" t="str">
        <f t="shared" si="29"/>
        <v/>
      </c>
      <c r="H197" s="3">
        <f t="shared" si="30"/>
        <v>0</v>
      </c>
      <c r="I197" s="20" t="str">
        <f t="shared" si="31"/>
        <v/>
      </c>
      <c r="J197" s="94" t="str">
        <f t="shared" si="28"/>
        <v/>
      </c>
      <c r="K197" s="20" t="str">
        <f t="shared" si="32"/>
        <v/>
      </c>
      <c r="L197" s="94" t="str">
        <f t="shared" si="33"/>
        <v/>
      </c>
      <c r="M197" s="84" t="str">
        <f t="shared" si="34"/>
        <v/>
      </c>
      <c r="O197" s="36" t="str">
        <f t="shared" si="35"/>
        <v/>
      </c>
      <c r="P197" s="27" t="str">
        <f t="shared" si="36"/>
        <v/>
      </c>
      <c r="Q197" s="30" t="str">
        <f t="shared" si="37"/>
        <v/>
      </c>
      <c r="R197" s="19"/>
      <c r="S197" s="19" t="str">
        <f t="shared" si="38"/>
        <v/>
      </c>
      <c r="T197" s="19" t="str">
        <f t="shared" si="39"/>
        <v/>
      </c>
      <c r="U197" s="57" t="str">
        <f t="shared" si="40"/>
        <v/>
      </c>
      <c r="V197" s="57" t="str">
        <f t="shared" si="41"/>
        <v/>
      </c>
      <c r="W197" s="63" t="str">
        <f>IF(U197="","",IF(T198="",P$4-SUM(W$14:W196),IF((YEAR(O197)*1000+MONTH(O197))&gt;=P$9,IF((YEAR(O197)*1000+MONTH(O197))=P$9,ROUND(U197,0),ROUND(T197,0)),"")))</f>
        <v/>
      </c>
      <c r="X197" s="59" t="str">
        <f>IF(S$10="","",IF(P197&lt;=S$10,IF(P197=S$10,P$4-SUM(W$14:W196),W197),""))</f>
        <v/>
      </c>
    </row>
    <row r="198" spans="3:24" ht="15" hidden="1" customHeight="1" outlineLevel="1" x14ac:dyDescent="0.45">
      <c r="C198" s="124"/>
      <c r="D198" s="105"/>
      <c r="E198" s="131"/>
      <c r="F198" s="71"/>
      <c r="G198" s="78" t="str">
        <f t="shared" si="29"/>
        <v/>
      </c>
      <c r="H198" s="3">
        <f t="shared" si="30"/>
        <v>0</v>
      </c>
      <c r="I198" s="20" t="str">
        <f t="shared" si="31"/>
        <v/>
      </c>
      <c r="J198" s="94" t="str">
        <f t="shared" si="28"/>
        <v/>
      </c>
      <c r="K198" s="20" t="str">
        <f t="shared" si="32"/>
        <v/>
      </c>
      <c r="L198" s="94" t="str">
        <f t="shared" si="33"/>
        <v/>
      </c>
      <c r="M198" s="84" t="str">
        <f t="shared" si="34"/>
        <v/>
      </c>
      <c r="O198" s="36" t="str">
        <f t="shared" si="35"/>
        <v/>
      </c>
      <c r="P198" s="27" t="str">
        <f t="shared" si="36"/>
        <v/>
      </c>
      <c r="Q198" s="30" t="str">
        <f t="shared" si="37"/>
        <v/>
      </c>
      <c r="R198" s="19"/>
      <c r="S198" s="19" t="str">
        <f t="shared" si="38"/>
        <v/>
      </c>
      <c r="T198" s="19" t="str">
        <f t="shared" si="39"/>
        <v/>
      </c>
      <c r="U198" s="57" t="str">
        <f t="shared" si="40"/>
        <v/>
      </c>
      <c r="V198" s="57" t="str">
        <f t="shared" si="41"/>
        <v/>
      </c>
      <c r="W198" s="63" t="str">
        <f>IF(U198="","",IF(T199="",P$4-SUM(W$14:W197),IF((YEAR(O198)*1000+MONTH(O198))&gt;=P$9,IF((YEAR(O198)*1000+MONTH(O198))=P$9,ROUND(U198,0),ROUND(T198,0)),"")))</f>
        <v/>
      </c>
      <c r="X198" s="59" t="str">
        <f>IF(S$10="","",IF(P198&lt;=S$10,IF(P198=S$10,P$4-SUM(W$14:W197),W198),""))</f>
        <v/>
      </c>
    </row>
    <row r="199" spans="3:24" ht="15" hidden="1" customHeight="1" outlineLevel="1" x14ac:dyDescent="0.45">
      <c r="C199" s="124"/>
      <c r="D199" s="105"/>
      <c r="E199" s="131"/>
      <c r="F199" s="71"/>
      <c r="G199" s="78" t="str">
        <f t="shared" si="29"/>
        <v/>
      </c>
      <c r="H199" s="3">
        <f t="shared" si="30"/>
        <v>0</v>
      </c>
      <c r="I199" s="20" t="str">
        <f t="shared" si="31"/>
        <v/>
      </c>
      <c r="J199" s="94" t="str">
        <f t="shared" si="28"/>
        <v/>
      </c>
      <c r="K199" s="20" t="str">
        <f t="shared" si="32"/>
        <v/>
      </c>
      <c r="L199" s="94" t="str">
        <f t="shared" si="33"/>
        <v/>
      </c>
      <c r="M199" s="84" t="str">
        <f t="shared" si="34"/>
        <v/>
      </c>
      <c r="O199" s="36" t="str">
        <f t="shared" si="35"/>
        <v/>
      </c>
      <c r="P199" s="27" t="str">
        <f t="shared" si="36"/>
        <v/>
      </c>
      <c r="Q199" s="30" t="str">
        <f t="shared" si="37"/>
        <v/>
      </c>
      <c r="R199" s="19"/>
      <c r="S199" s="19" t="str">
        <f t="shared" si="38"/>
        <v/>
      </c>
      <c r="T199" s="19" t="str">
        <f t="shared" si="39"/>
        <v/>
      </c>
      <c r="U199" s="57" t="str">
        <f t="shared" si="40"/>
        <v/>
      </c>
      <c r="V199" s="57" t="str">
        <f t="shared" si="41"/>
        <v/>
      </c>
      <c r="W199" s="63" t="str">
        <f>IF(U199="","",IF(T200="",P$4-SUM(W$14:W198),IF((YEAR(O199)*1000+MONTH(O199))&gt;=P$9,IF((YEAR(O199)*1000+MONTH(O199))=P$9,ROUND(U199,0),ROUND(T199,0)),"")))</f>
        <v/>
      </c>
      <c r="X199" s="59" t="str">
        <f>IF(S$10="","",IF(P199&lt;=S$10,IF(P199=S$10,P$4-SUM(W$14:W198),W199),""))</f>
        <v/>
      </c>
    </row>
    <row r="200" spans="3:24" ht="15" hidden="1" customHeight="1" outlineLevel="1" x14ac:dyDescent="0.45">
      <c r="C200" s="124"/>
      <c r="D200" s="105"/>
      <c r="E200" s="131"/>
      <c r="F200" s="71"/>
      <c r="G200" s="78" t="str">
        <f t="shared" si="29"/>
        <v/>
      </c>
      <c r="H200" s="3">
        <f t="shared" si="30"/>
        <v>0</v>
      </c>
      <c r="I200" s="20" t="str">
        <f t="shared" si="31"/>
        <v/>
      </c>
      <c r="J200" s="94" t="str">
        <f t="shared" si="28"/>
        <v/>
      </c>
      <c r="K200" s="20" t="str">
        <f t="shared" si="32"/>
        <v/>
      </c>
      <c r="L200" s="94" t="str">
        <f t="shared" si="33"/>
        <v/>
      </c>
      <c r="M200" s="84" t="str">
        <f t="shared" si="34"/>
        <v/>
      </c>
      <c r="O200" s="36" t="str">
        <f t="shared" si="35"/>
        <v/>
      </c>
      <c r="P200" s="27" t="str">
        <f t="shared" si="36"/>
        <v/>
      </c>
      <c r="Q200" s="30" t="str">
        <f t="shared" si="37"/>
        <v/>
      </c>
      <c r="R200" s="19"/>
      <c r="S200" s="19" t="str">
        <f t="shared" si="38"/>
        <v/>
      </c>
      <c r="T200" s="19" t="str">
        <f t="shared" si="39"/>
        <v/>
      </c>
      <c r="U200" s="57" t="str">
        <f t="shared" si="40"/>
        <v/>
      </c>
      <c r="V200" s="57" t="str">
        <f t="shared" si="41"/>
        <v/>
      </c>
      <c r="W200" s="63" t="str">
        <f>IF(U200="","",IF(T201="",P$4-SUM(W$14:W199),IF((YEAR(O200)*1000+MONTH(O200))&gt;=P$9,IF((YEAR(O200)*1000+MONTH(O200))=P$9,ROUND(U200,0),ROUND(T200,0)),"")))</f>
        <v/>
      </c>
      <c r="X200" s="59" t="str">
        <f>IF(S$10="","",IF(P200&lt;=S$10,IF(P200=S$10,P$4-SUM(W$14:W199),W200),""))</f>
        <v/>
      </c>
    </row>
    <row r="201" spans="3:24" ht="15" hidden="1" customHeight="1" outlineLevel="1" x14ac:dyDescent="0.45">
      <c r="C201" s="124"/>
      <c r="D201" s="105"/>
      <c r="E201" s="131"/>
      <c r="F201" s="71"/>
      <c r="G201" s="78" t="str">
        <f t="shared" si="29"/>
        <v/>
      </c>
      <c r="H201" s="3">
        <f t="shared" si="30"/>
        <v>0</v>
      </c>
      <c r="I201" s="20" t="str">
        <f t="shared" si="31"/>
        <v/>
      </c>
      <c r="J201" s="94" t="str">
        <f t="shared" si="28"/>
        <v/>
      </c>
      <c r="K201" s="20" t="str">
        <f t="shared" si="32"/>
        <v/>
      </c>
      <c r="L201" s="94" t="str">
        <f t="shared" si="33"/>
        <v/>
      </c>
      <c r="M201" s="84" t="str">
        <f t="shared" si="34"/>
        <v/>
      </c>
      <c r="O201" s="36" t="str">
        <f t="shared" si="35"/>
        <v/>
      </c>
      <c r="P201" s="27" t="str">
        <f t="shared" si="36"/>
        <v/>
      </c>
      <c r="Q201" s="30" t="str">
        <f t="shared" si="37"/>
        <v/>
      </c>
      <c r="R201" s="19"/>
      <c r="S201" s="19" t="str">
        <f t="shared" si="38"/>
        <v/>
      </c>
      <c r="T201" s="19" t="str">
        <f t="shared" si="39"/>
        <v/>
      </c>
      <c r="U201" s="57" t="str">
        <f t="shared" si="40"/>
        <v/>
      </c>
      <c r="V201" s="57" t="str">
        <f t="shared" si="41"/>
        <v/>
      </c>
      <c r="W201" s="63" t="str">
        <f>IF(U201="","",IF(T202="",P$4-SUM(W$14:W200),IF((YEAR(O201)*1000+MONTH(O201))&gt;=P$9,IF((YEAR(O201)*1000+MONTH(O201))=P$9,ROUND(U201,0),ROUND(T201,0)),"")))</f>
        <v/>
      </c>
      <c r="X201" s="59" t="str">
        <f>IF(S$10="","",IF(P201&lt;=S$10,IF(P201=S$10,P$4-SUM(W$14:W200),W201),""))</f>
        <v/>
      </c>
    </row>
    <row r="202" spans="3:24" ht="15" hidden="1" customHeight="1" outlineLevel="1" x14ac:dyDescent="0.45">
      <c r="C202" s="124"/>
      <c r="D202" s="105"/>
      <c r="E202" s="131"/>
      <c r="F202" s="71"/>
      <c r="G202" s="78" t="str">
        <f t="shared" si="29"/>
        <v/>
      </c>
      <c r="H202" s="3">
        <f t="shared" si="30"/>
        <v>0</v>
      </c>
      <c r="I202" s="20" t="str">
        <f t="shared" si="31"/>
        <v/>
      </c>
      <c r="J202" s="94" t="str">
        <f t="shared" si="28"/>
        <v/>
      </c>
      <c r="K202" s="20" t="str">
        <f t="shared" si="32"/>
        <v/>
      </c>
      <c r="L202" s="94" t="str">
        <f t="shared" si="33"/>
        <v/>
      </c>
      <c r="M202" s="84" t="str">
        <f t="shared" si="34"/>
        <v/>
      </c>
      <c r="O202" s="36" t="str">
        <f t="shared" si="35"/>
        <v/>
      </c>
      <c r="P202" s="27" t="str">
        <f t="shared" si="36"/>
        <v/>
      </c>
      <c r="Q202" s="30" t="str">
        <f t="shared" si="37"/>
        <v/>
      </c>
      <c r="R202" s="19"/>
      <c r="S202" s="19" t="str">
        <f t="shared" si="38"/>
        <v/>
      </c>
      <c r="T202" s="19" t="str">
        <f t="shared" si="39"/>
        <v/>
      </c>
      <c r="U202" s="57" t="str">
        <f t="shared" si="40"/>
        <v/>
      </c>
      <c r="V202" s="57" t="str">
        <f t="shared" si="41"/>
        <v/>
      </c>
      <c r="W202" s="63" t="str">
        <f>IF(U202="","",IF(T203="",P$4-SUM(W$14:W201),IF((YEAR(O202)*1000+MONTH(O202))&gt;=P$9,IF((YEAR(O202)*1000+MONTH(O202))=P$9,ROUND(U202,0),ROUND(T202,0)),"")))</f>
        <v/>
      </c>
      <c r="X202" s="59" t="str">
        <f>IF(S$10="","",IF(P202&lt;=S$10,IF(P202=S$10,P$4-SUM(W$14:W201),W202),""))</f>
        <v/>
      </c>
    </row>
    <row r="203" spans="3:24" ht="15" hidden="1" customHeight="1" outlineLevel="1" x14ac:dyDescent="0.45">
      <c r="C203" s="124"/>
      <c r="D203" s="105"/>
      <c r="E203" s="131"/>
      <c r="F203" s="71"/>
      <c r="G203" s="78" t="str">
        <f t="shared" si="29"/>
        <v/>
      </c>
      <c r="H203" s="3">
        <f t="shared" si="30"/>
        <v>0</v>
      </c>
      <c r="I203" s="20" t="str">
        <f t="shared" si="31"/>
        <v/>
      </c>
      <c r="J203" s="94" t="str">
        <f t="shared" si="28"/>
        <v/>
      </c>
      <c r="K203" s="20" t="str">
        <f t="shared" si="32"/>
        <v/>
      </c>
      <c r="L203" s="94" t="str">
        <f t="shared" si="33"/>
        <v/>
      </c>
      <c r="M203" s="84" t="str">
        <f t="shared" si="34"/>
        <v/>
      </c>
      <c r="O203" s="36" t="str">
        <f t="shared" si="35"/>
        <v/>
      </c>
      <c r="P203" s="27" t="str">
        <f t="shared" si="36"/>
        <v/>
      </c>
      <c r="Q203" s="30" t="str">
        <f t="shared" si="37"/>
        <v/>
      </c>
      <c r="R203" s="19"/>
      <c r="S203" s="19" t="str">
        <f t="shared" si="38"/>
        <v/>
      </c>
      <c r="T203" s="19" t="str">
        <f t="shared" si="39"/>
        <v/>
      </c>
      <c r="U203" s="57" t="str">
        <f t="shared" si="40"/>
        <v/>
      </c>
      <c r="V203" s="57" t="str">
        <f t="shared" si="41"/>
        <v/>
      </c>
      <c r="W203" s="63" t="str">
        <f>IF(U203="","",IF(T204="",P$4-SUM(W$14:W202),IF((YEAR(O203)*1000+MONTH(O203))&gt;=P$9,IF((YEAR(O203)*1000+MONTH(O203))=P$9,ROUND(U203,0),ROUND(T203,0)),"")))</f>
        <v/>
      </c>
      <c r="X203" s="59" t="str">
        <f>IF(S$10="","",IF(P203&lt;=S$10,IF(P203=S$10,P$4-SUM(W$14:W202),W203),""))</f>
        <v/>
      </c>
    </row>
    <row r="204" spans="3:24" ht="15" hidden="1" customHeight="1" outlineLevel="1" x14ac:dyDescent="0.45">
      <c r="C204" s="124"/>
      <c r="D204" s="105"/>
      <c r="E204" s="131"/>
      <c r="F204" s="71"/>
      <c r="G204" s="78" t="str">
        <f t="shared" si="29"/>
        <v/>
      </c>
      <c r="H204" s="3">
        <f t="shared" si="30"/>
        <v>0</v>
      </c>
      <c r="I204" s="20" t="str">
        <f t="shared" si="31"/>
        <v/>
      </c>
      <c r="J204" s="94" t="str">
        <f t="shared" si="28"/>
        <v/>
      </c>
      <c r="K204" s="20" t="str">
        <f t="shared" si="32"/>
        <v/>
      </c>
      <c r="L204" s="94" t="str">
        <f t="shared" si="33"/>
        <v/>
      </c>
      <c r="M204" s="84" t="str">
        <f t="shared" si="34"/>
        <v/>
      </c>
      <c r="O204" s="36" t="str">
        <f t="shared" si="35"/>
        <v/>
      </c>
      <c r="P204" s="27" t="str">
        <f t="shared" si="36"/>
        <v/>
      </c>
      <c r="Q204" s="30" t="str">
        <f t="shared" si="37"/>
        <v/>
      </c>
      <c r="R204" s="19"/>
      <c r="S204" s="19" t="str">
        <f t="shared" si="38"/>
        <v/>
      </c>
      <c r="T204" s="19" t="str">
        <f t="shared" si="39"/>
        <v/>
      </c>
      <c r="U204" s="57" t="str">
        <f t="shared" si="40"/>
        <v/>
      </c>
      <c r="V204" s="57" t="str">
        <f t="shared" si="41"/>
        <v/>
      </c>
      <c r="W204" s="63" t="str">
        <f>IF(U204="","",IF(T205="",P$4-SUM(W$14:W203),IF((YEAR(O204)*1000+MONTH(O204))&gt;=P$9,IF((YEAR(O204)*1000+MONTH(O204))=P$9,ROUND(U204,0),ROUND(T204,0)),"")))</f>
        <v/>
      </c>
      <c r="X204" s="59" t="str">
        <f>IF(S$10="","",IF(P204&lt;=S$10,IF(P204=S$10,P$4-SUM(W$14:W203),W204),""))</f>
        <v/>
      </c>
    </row>
    <row r="205" spans="3:24" ht="15" hidden="1" customHeight="1" outlineLevel="1" x14ac:dyDescent="0.45">
      <c r="C205" s="124"/>
      <c r="D205" s="105"/>
      <c r="E205" s="131"/>
      <c r="F205" s="71"/>
      <c r="G205" s="78" t="str">
        <f t="shared" si="29"/>
        <v/>
      </c>
      <c r="H205" s="3">
        <f t="shared" si="30"/>
        <v>0</v>
      </c>
      <c r="I205" s="20" t="str">
        <f t="shared" si="31"/>
        <v/>
      </c>
      <c r="J205" s="94" t="str">
        <f t="shared" si="28"/>
        <v/>
      </c>
      <c r="K205" s="20" t="str">
        <f t="shared" si="32"/>
        <v/>
      </c>
      <c r="L205" s="94" t="str">
        <f t="shared" si="33"/>
        <v/>
      </c>
      <c r="M205" s="84" t="str">
        <f t="shared" si="34"/>
        <v/>
      </c>
      <c r="O205" s="36" t="str">
        <f t="shared" si="35"/>
        <v/>
      </c>
      <c r="P205" s="27" t="str">
        <f t="shared" si="36"/>
        <v/>
      </c>
      <c r="Q205" s="30" t="str">
        <f t="shared" si="37"/>
        <v/>
      </c>
      <c r="R205" s="19"/>
      <c r="S205" s="19" t="str">
        <f t="shared" si="38"/>
        <v/>
      </c>
      <c r="T205" s="19" t="str">
        <f t="shared" si="39"/>
        <v/>
      </c>
      <c r="U205" s="57" t="str">
        <f t="shared" si="40"/>
        <v/>
      </c>
      <c r="V205" s="57" t="str">
        <f t="shared" si="41"/>
        <v/>
      </c>
      <c r="W205" s="63" t="str">
        <f>IF(U205="","",IF(T206="",P$4-SUM(W$14:W204),IF((YEAR(O205)*1000+MONTH(O205))&gt;=P$9,IF((YEAR(O205)*1000+MONTH(O205))=P$9,ROUND(U205,0),ROUND(T205,0)),"")))</f>
        <v/>
      </c>
      <c r="X205" s="59" t="str">
        <f>IF(S$10="","",IF(P205&lt;=S$10,IF(P205=S$10,P$4-SUM(W$14:W204),W205),""))</f>
        <v/>
      </c>
    </row>
    <row r="206" spans="3:24" ht="15" hidden="1" customHeight="1" outlineLevel="1" x14ac:dyDescent="0.45">
      <c r="C206" s="124"/>
      <c r="D206" s="105"/>
      <c r="E206" s="131"/>
      <c r="F206" s="71"/>
      <c r="G206" s="78" t="str">
        <f t="shared" si="29"/>
        <v/>
      </c>
      <c r="H206" s="3">
        <f t="shared" si="30"/>
        <v>0</v>
      </c>
      <c r="I206" s="20" t="str">
        <f t="shared" si="31"/>
        <v/>
      </c>
      <c r="J206" s="94" t="str">
        <f t="shared" si="28"/>
        <v/>
      </c>
      <c r="K206" s="20" t="str">
        <f t="shared" si="32"/>
        <v/>
      </c>
      <c r="L206" s="94" t="str">
        <f t="shared" si="33"/>
        <v/>
      </c>
      <c r="M206" s="84" t="str">
        <f t="shared" si="34"/>
        <v/>
      </c>
      <c r="O206" s="36" t="str">
        <f t="shared" si="35"/>
        <v/>
      </c>
      <c r="P206" s="27" t="str">
        <f t="shared" si="36"/>
        <v/>
      </c>
      <c r="Q206" s="30" t="str">
        <f t="shared" si="37"/>
        <v/>
      </c>
      <c r="R206" s="19"/>
      <c r="S206" s="19" t="str">
        <f t="shared" si="38"/>
        <v/>
      </c>
      <c r="T206" s="19" t="str">
        <f t="shared" si="39"/>
        <v/>
      </c>
      <c r="U206" s="57" t="str">
        <f t="shared" si="40"/>
        <v/>
      </c>
      <c r="V206" s="57" t="str">
        <f t="shared" si="41"/>
        <v/>
      </c>
      <c r="W206" s="63" t="str">
        <f>IF(U206="","",IF(T207="",P$4-SUM(W$14:W205),IF((YEAR(O206)*1000+MONTH(O206))&gt;=P$9,IF((YEAR(O206)*1000+MONTH(O206))=P$9,ROUND(U206,0),ROUND(T206,0)),"")))</f>
        <v/>
      </c>
      <c r="X206" s="59" t="str">
        <f>IF(S$10="","",IF(P206&lt;=S$10,IF(P206=S$10,P$4-SUM(W$14:W205),W206),""))</f>
        <v/>
      </c>
    </row>
    <row r="207" spans="3:24" ht="15" hidden="1" customHeight="1" outlineLevel="1" x14ac:dyDescent="0.45">
      <c r="C207" s="124"/>
      <c r="D207" s="105"/>
      <c r="E207" s="131"/>
      <c r="F207" s="71"/>
      <c r="G207" s="78" t="str">
        <f t="shared" si="29"/>
        <v/>
      </c>
      <c r="H207" s="3">
        <f t="shared" si="30"/>
        <v>0</v>
      </c>
      <c r="I207" s="20" t="str">
        <f t="shared" si="31"/>
        <v/>
      </c>
      <c r="J207" s="94" t="str">
        <f t="shared" si="28"/>
        <v/>
      </c>
      <c r="K207" s="20" t="str">
        <f t="shared" si="32"/>
        <v/>
      </c>
      <c r="L207" s="94" t="str">
        <f t="shared" si="33"/>
        <v/>
      </c>
      <c r="M207" s="84" t="str">
        <f t="shared" si="34"/>
        <v/>
      </c>
      <c r="O207" s="36" t="str">
        <f t="shared" si="35"/>
        <v/>
      </c>
      <c r="P207" s="27" t="str">
        <f t="shared" si="36"/>
        <v/>
      </c>
      <c r="Q207" s="30" t="str">
        <f t="shared" si="37"/>
        <v/>
      </c>
      <c r="R207" s="19"/>
      <c r="S207" s="19" t="str">
        <f t="shared" si="38"/>
        <v/>
      </c>
      <c r="T207" s="19" t="str">
        <f t="shared" si="39"/>
        <v/>
      </c>
      <c r="U207" s="57" t="str">
        <f t="shared" si="40"/>
        <v/>
      </c>
      <c r="V207" s="57" t="str">
        <f t="shared" si="41"/>
        <v/>
      </c>
      <c r="W207" s="63" t="str">
        <f>IF(U207="","",IF(T208="",P$4-SUM(W$14:W206),IF((YEAR(O207)*1000+MONTH(O207))&gt;=P$9,IF((YEAR(O207)*1000+MONTH(O207))=P$9,ROUND(U207,0),ROUND(T207,0)),"")))</f>
        <v/>
      </c>
      <c r="X207" s="59" t="str">
        <f>IF(S$10="","",IF(P207&lt;=S$10,IF(P207=S$10,P$4-SUM(W$14:W206),W207),""))</f>
        <v/>
      </c>
    </row>
    <row r="208" spans="3:24" ht="15" hidden="1" customHeight="1" outlineLevel="1" x14ac:dyDescent="0.45">
      <c r="C208" s="124"/>
      <c r="D208" s="105"/>
      <c r="E208" s="131"/>
      <c r="F208" s="71"/>
      <c r="G208" s="78" t="str">
        <f t="shared" si="29"/>
        <v/>
      </c>
      <c r="H208" s="3">
        <f t="shared" si="30"/>
        <v>0</v>
      </c>
      <c r="I208" s="20" t="str">
        <f t="shared" si="31"/>
        <v/>
      </c>
      <c r="J208" s="94" t="str">
        <f t="shared" ref="J208:J271" si="42">IF(F208="","",-F208)</f>
        <v/>
      </c>
      <c r="K208" s="20" t="str">
        <f t="shared" si="32"/>
        <v/>
      </c>
      <c r="L208" s="94" t="str">
        <f t="shared" si="33"/>
        <v/>
      </c>
      <c r="M208" s="84" t="str">
        <f t="shared" si="34"/>
        <v/>
      </c>
      <c r="O208" s="36" t="str">
        <f t="shared" si="35"/>
        <v/>
      </c>
      <c r="P208" s="27" t="str">
        <f t="shared" si="36"/>
        <v/>
      </c>
      <c r="Q208" s="30" t="str">
        <f t="shared" si="37"/>
        <v/>
      </c>
      <c r="R208" s="19"/>
      <c r="S208" s="19" t="str">
        <f t="shared" si="38"/>
        <v/>
      </c>
      <c r="T208" s="19" t="str">
        <f t="shared" si="39"/>
        <v/>
      </c>
      <c r="U208" s="57" t="str">
        <f t="shared" si="40"/>
        <v/>
      </c>
      <c r="V208" s="57" t="str">
        <f t="shared" si="41"/>
        <v/>
      </c>
      <c r="W208" s="63" t="str">
        <f>IF(U208="","",IF(T209="",P$4-SUM(W$14:W207),IF((YEAR(O208)*1000+MONTH(O208))&gt;=P$9,IF((YEAR(O208)*1000+MONTH(O208))=P$9,ROUND(U208,0),ROUND(T208,0)),"")))</f>
        <v/>
      </c>
      <c r="X208" s="59" t="str">
        <f>IF(S$10="","",IF(P208&lt;=S$10,IF(P208=S$10,P$4-SUM(W$14:W207),W208),""))</f>
        <v/>
      </c>
    </row>
    <row r="209" spans="3:24" ht="15" hidden="1" customHeight="1" outlineLevel="1" x14ac:dyDescent="0.45">
      <c r="C209" s="124"/>
      <c r="D209" s="105"/>
      <c r="E209" s="131"/>
      <c r="F209" s="71"/>
      <c r="G209" s="78" t="str">
        <f t="shared" ref="G209:G272" si="43">IF(D209&lt;0,-D209-F209,IF(F209="","",-F209))</f>
        <v/>
      </c>
      <c r="H209" s="3">
        <f t="shared" ref="H209:H272" si="44">IF(D209&gt;0,D209,0)</f>
        <v>0</v>
      </c>
      <c r="I209" s="20" t="str">
        <f t="shared" ref="I209:I272" si="45">IF(D209="","",-D209)</f>
        <v/>
      </c>
      <c r="J209" s="94" t="str">
        <f t="shared" si="42"/>
        <v/>
      </c>
      <c r="K209" s="20" t="str">
        <f t="shared" ref="K209:K272" si="46">IF(AND(I209&gt;0,I209&lt;&gt;""),-I209-J209,IF(J209="","",-J209))</f>
        <v/>
      </c>
      <c r="L209" s="94" t="str">
        <f t="shared" ref="L209:L272" si="47">IF(C209="","",+C209)</f>
        <v/>
      </c>
      <c r="M209" s="84" t="str">
        <f t="shared" ref="M209:M272" si="48">IF(L209="","",-L209)</f>
        <v/>
      </c>
      <c r="O209" s="36" t="str">
        <f t="shared" ref="O209:O272" si="49">IF(O208="","",IF(EOMONTH(O208,0)+1&gt;P$8,"",EOMONTH(O208,0)+1))</f>
        <v/>
      </c>
      <c r="P209" s="27" t="str">
        <f t="shared" ref="P209:P272" si="50">IF(O209="","",IF(O209&lt;=P$8,IF((YEAR(O209)*1000+MONTH(O209))&lt;P$9,P$9,(YEAR(O209)*1000+MONTH(O209))),""))</f>
        <v/>
      </c>
      <c r="Q209" s="30" t="str">
        <f t="shared" ref="Q209:Q272" si="51">IF(P209&lt;&gt;"",IF(EOMONTH(O209,0)&lt;&gt;EOMONTH(P$8,0),DAY(EOMONTH(O209,0)-DAY(O209)+1)/DAY(EOMONTH(O209,0)),IF(DAY(EOMONTH(P$7,0))-DAY(P$7)+1+DAY(P$8)=DAY(EOMONTH(P$7,0)),1-Q$15,DAY(P$8)/DAY(EOMONTH(P$8,0)))),"")</f>
        <v/>
      </c>
      <c r="R209" s="19"/>
      <c r="S209" s="19" t="str">
        <f t="shared" ref="S209:S272" si="52">IF(O209="","",IF(P209&lt;=S$10,IF(P209=S$10,R$15,-R209),""))</f>
        <v/>
      </c>
      <c r="T209" s="19" t="str">
        <f t="shared" ref="T209:T272" si="53">IF(P209="","",IF(ISERROR(S$11*Q209),0,(S$11)*Q209))</f>
        <v/>
      </c>
      <c r="U209" s="57" t="str">
        <f t="shared" ref="U209:U272" si="54">IF(Q209="","",IF(Q209&gt;0,T209+U208,-U208))</f>
        <v/>
      </c>
      <c r="V209" s="57" t="str">
        <f t="shared" ref="V209:V272" si="55">IF(S209="","",IF(P209&lt;S$10,T209+U208,-V208))</f>
        <v/>
      </c>
      <c r="W209" s="63" t="str">
        <f>IF(U209="","",IF(T210="",P$4-SUM(W$14:W208),IF((YEAR(O209)*1000+MONTH(O209))&gt;=P$9,IF((YEAR(O209)*1000+MONTH(O209))=P$9,ROUND(U209,0),ROUND(T209,0)),"")))</f>
        <v/>
      </c>
      <c r="X209" s="59" t="str">
        <f>IF(S$10="","",IF(P209&lt;=S$10,IF(P209=S$10,P$4-SUM(W$14:W208),W209),""))</f>
        <v/>
      </c>
    </row>
    <row r="210" spans="3:24" ht="15" hidden="1" customHeight="1" outlineLevel="1" x14ac:dyDescent="0.45">
      <c r="C210" s="124"/>
      <c r="D210" s="105"/>
      <c r="E210" s="131"/>
      <c r="F210" s="71"/>
      <c r="G210" s="78" t="str">
        <f t="shared" si="43"/>
        <v/>
      </c>
      <c r="H210" s="3">
        <f t="shared" si="44"/>
        <v>0</v>
      </c>
      <c r="I210" s="20" t="str">
        <f t="shared" si="45"/>
        <v/>
      </c>
      <c r="J210" s="94" t="str">
        <f t="shared" si="42"/>
        <v/>
      </c>
      <c r="K210" s="20" t="str">
        <f t="shared" si="46"/>
        <v/>
      </c>
      <c r="L210" s="94" t="str">
        <f t="shared" si="47"/>
        <v/>
      </c>
      <c r="M210" s="84" t="str">
        <f t="shared" si="48"/>
        <v/>
      </c>
      <c r="O210" s="36" t="str">
        <f t="shared" si="49"/>
        <v/>
      </c>
      <c r="P210" s="27" t="str">
        <f t="shared" si="50"/>
        <v/>
      </c>
      <c r="Q210" s="30" t="str">
        <f t="shared" si="51"/>
        <v/>
      </c>
      <c r="R210" s="19"/>
      <c r="S210" s="19" t="str">
        <f t="shared" si="52"/>
        <v/>
      </c>
      <c r="T210" s="19" t="str">
        <f t="shared" si="53"/>
        <v/>
      </c>
      <c r="U210" s="57" t="str">
        <f t="shared" si="54"/>
        <v/>
      </c>
      <c r="V210" s="57" t="str">
        <f t="shared" si="55"/>
        <v/>
      </c>
      <c r="W210" s="63" t="str">
        <f>IF(U210="","",IF(T211="",P$4-SUM(W$14:W209),IF((YEAR(O210)*1000+MONTH(O210))&gt;=P$9,IF((YEAR(O210)*1000+MONTH(O210))=P$9,ROUND(U210,0),ROUND(T210,0)),"")))</f>
        <v/>
      </c>
      <c r="X210" s="59" t="str">
        <f>IF(S$10="","",IF(P210&lt;=S$10,IF(P210=S$10,P$4-SUM(W$14:W209),W210),""))</f>
        <v/>
      </c>
    </row>
    <row r="211" spans="3:24" ht="15" hidden="1" customHeight="1" outlineLevel="1" x14ac:dyDescent="0.45">
      <c r="C211" s="124"/>
      <c r="D211" s="105"/>
      <c r="E211" s="131"/>
      <c r="F211" s="71"/>
      <c r="G211" s="78" t="str">
        <f t="shared" si="43"/>
        <v/>
      </c>
      <c r="H211" s="3">
        <f t="shared" si="44"/>
        <v>0</v>
      </c>
      <c r="I211" s="20" t="str">
        <f t="shared" si="45"/>
        <v/>
      </c>
      <c r="J211" s="94" t="str">
        <f t="shared" si="42"/>
        <v/>
      </c>
      <c r="K211" s="20" t="str">
        <f t="shared" si="46"/>
        <v/>
      </c>
      <c r="L211" s="94" t="str">
        <f t="shared" si="47"/>
        <v/>
      </c>
      <c r="M211" s="84" t="str">
        <f t="shared" si="48"/>
        <v/>
      </c>
      <c r="O211" s="36" t="str">
        <f t="shared" si="49"/>
        <v/>
      </c>
      <c r="P211" s="27" t="str">
        <f t="shared" si="50"/>
        <v/>
      </c>
      <c r="Q211" s="30" t="str">
        <f t="shared" si="51"/>
        <v/>
      </c>
      <c r="R211" s="19"/>
      <c r="S211" s="19" t="str">
        <f t="shared" si="52"/>
        <v/>
      </c>
      <c r="T211" s="19" t="str">
        <f t="shared" si="53"/>
        <v/>
      </c>
      <c r="U211" s="57" t="str">
        <f t="shared" si="54"/>
        <v/>
      </c>
      <c r="V211" s="57" t="str">
        <f t="shared" si="55"/>
        <v/>
      </c>
      <c r="W211" s="63" t="str">
        <f>IF(U211="","",IF(T212="",P$4-SUM(W$14:W210),IF((YEAR(O211)*1000+MONTH(O211))&gt;=P$9,IF((YEAR(O211)*1000+MONTH(O211))=P$9,ROUND(U211,0),ROUND(T211,0)),"")))</f>
        <v/>
      </c>
      <c r="X211" s="59" t="str">
        <f>IF(S$10="","",IF(P211&lt;=S$10,IF(P211=S$10,P$4-SUM(W$14:W210),W211),""))</f>
        <v/>
      </c>
    </row>
    <row r="212" spans="3:24" ht="15" hidden="1" customHeight="1" outlineLevel="1" x14ac:dyDescent="0.45">
      <c r="C212" s="124"/>
      <c r="D212" s="105"/>
      <c r="E212" s="131"/>
      <c r="F212" s="71"/>
      <c r="G212" s="78" t="str">
        <f t="shared" si="43"/>
        <v/>
      </c>
      <c r="H212" s="3">
        <f t="shared" si="44"/>
        <v>0</v>
      </c>
      <c r="I212" s="20" t="str">
        <f t="shared" si="45"/>
        <v/>
      </c>
      <c r="J212" s="94" t="str">
        <f t="shared" si="42"/>
        <v/>
      </c>
      <c r="K212" s="20" t="str">
        <f t="shared" si="46"/>
        <v/>
      </c>
      <c r="L212" s="94" t="str">
        <f t="shared" si="47"/>
        <v/>
      </c>
      <c r="M212" s="84" t="str">
        <f t="shared" si="48"/>
        <v/>
      </c>
      <c r="O212" s="36" t="str">
        <f t="shared" si="49"/>
        <v/>
      </c>
      <c r="P212" s="27" t="str">
        <f t="shared" si="50"/>
        <v/>
      </c>
      <c r="Q212" s="30" t="str">
        <f t="shared" si="51"/>
        <v/>
      </c>
      <c r="R212" s="19"/>
      <c r="S212" s="19" t="str">
        <f t="shared" si="52"/>
        <v/>
      </c>
      <c r="T212" s="19" t="str">
        <f t="shared" si="53"/>
        <v/>
      </c>
      <c r="U212" s="57" t="str">
        <f t="shared" si="54"/>
        <v/>
      </c>
      <c r="V212" s="57" t="str">
        <f t="shared" si="55"/>
        <v/>
      </c>
      <c r="W212" s="63" t="str">
        <f>IF(U212="","",IF(T213="",P$4-SUM(W$14:W211),IF((YEAR(O212)*1000+MONTH(O212))&gt;=P$9,IF((YEAR(O212)*1000+MONTH(O212))=P$9,ROUND(U212,0),ROUND(T212,0)),"")))</f>
        <v/>
      </c>
      <c r="X212" s="59" t="str">
        <f>IF(S$10="","",IF(P212&lt;=S$10,IF(P212=S$10,P$4-SUM(W$14:W211),W212),""))</f>
        <v/>
      </c>
    </row>
    <row r="213" spans="3:24" ht="15" hidden="1" customHeight="1" outlineLevel="1" x14ac:dyDescent="0.45">
      <c r="C213" s="124"/>
      <c r="D213" s="105"/>
      <c r="E213" s="131"/>
      <c r="F213" s="71"/>
      <c r="G213" s="78" t="str">
        <f t="shared" si="43"/>
        <v/>
      </c>
      <c r="H213" s="3">
        <f t="shared" si="44"/>
        <v>0</v>
      </c>
      <c r="I213" s="20" t="str">
        <f t="shared" si="45"/>
        <v/>
      </c>
      <c r="J213" s="94" t="str">
        <f t="shared" si="42"/>
        <v/>
      </c>
      <c r="K213" s="20" t="str">
        <f t="shared" si="46"/>
        <v/>
      </c>
      <c r="L213" s="94" t="str">
        <f t="shared" si="47"/>
        <v/>
      </c>
      <c r="M213" s="84" t="str">
        <f t="shared" si="48"/>
        <v/>
      </c>
      <c r="O213" s="36" t="str">
        <f t="shared" si="49"/>
        <v/>
      </c>
      <c r="P213" s="27" t="str">
        <f t="shared" si="50"/>
        <v/>
      </c>
      <c r="Q213" s="30" t="str">
        <f t="shared" si="51"/>
        <v/>
      </c>
      <c r="R213" s="19"/>
      <c r="S213" s="19" t="str">
        <f t="shared" si="52"/>
        <v/>
      </c>
      <c r="T213" s="19" t="str">
        <f t="shared" si="53"/>
        <v/>
      </c>
      <c r="U213" s="57" t="str">
        <f t="shared" si="54"/>
        <v/>
      </c>
      <c r="V213" s="57" t="str">
        <f t="shared" si="55"/>
        <v/>
      </c>
      <c r="W213" s="63" t="str">
        <f>IF(U213="","",IF(T214="",P$4-SUM(W$14:W212),IF((YEAR(O213)*1000+MONTH(O213))&gt;=P$9,IF((YEAR(O213)*1000+MONTH(O213))=P$9,ROUND(U213,0),ROUND(T213,0)),"")))</f>
        <v/>
      </c>
      <c r="X213" s="59" t="str">
        <f>IF(S$10="","",IF(P213&lt;=S$10,IF(P213=S$10,P$4-SUM(W$14:W212),W213),""))</f>
        <v/>
      </c>
    </row>
    <row r="214" spans="3:24" ht="15" hidden="1" customHeight="1" outlineLevel="1" x14ac:dyDescent="0.45">
      <c r="C214" s="124"/>
      <c r="D214" s="105"/>
      <c r="E214" s="131"/>
      <c r="F214" s="71"/>
      <c r="G214" s="78" t="str">
        <f t="shared" si="43"/>
        <v/>
      </c>
      <c r="H214" s="3">
        <f t="shared" si="44"/>
        <v>0</v>
      </c>
      <c r="I214" s="20" t="str">
        <f t="shared" si="45"/>
        <v/>
      </c>
      <c r="J214" s="94" t="str">
        <f t="shared" si="42"/>
        <v/>
      </c>
      <c r="K214" s="20" t="str">
        <f t="shared" si="46"/>
        <v/>
      </c>
      <c r="L214" s="94" t="str">
        <f t="shared" si="47"/>
        <v/>
      </c>
      <c r="M214" s="84" t="str">
        <f t="shared" si="48"/>
        <v/>
      </c>
      <c r="O214" s="36" t="str">
        <f t="shared" si="49"/>
        <v/>
      </c>
      <c r="P214" s="27" t="str">
        <f t="shared" si="50"/>
        <v/>
      </c>
      <c r="Q214" s="30" t="str">
        <f t="shared" si="51"/>
        <v/>
      </c>
      <c r="R214" s="19"/>
      <c r="S214" s="19" t="str">
        <f t="shared" si="52"/>
        <v/>
      </c>
      <c r="T214" s="19" t="str">
        <f t="shared" si="53"/>
        <v/>
      </c>
      <c r="U214" s="57" t="str">
        <f t="shared" si="54"/>
        <v/>
      </c>
      <c r="V214" s="57" t="str">
        <f t="shared" si="55"/>
        <v/>
      </c>
      <c r="W214" s="63" t="str">
        <f>IF(U214="","",IF(T215="",P$4-SUM(W$14:W213),IF((YEAR(O214)*1000+MONTH(O214))&gt;=P$9,IF((YEAR(O214)*1000+MONTH(O214))=P$9,ROUND(U214,0),ROUND(T214,0)),"")))</f>
        <v/>
      </c>
      <c r="X214" s="59" t="str">
        <f>IF(S$10="","",IF(P214&lt;=S$10,IF(P214=S$10,P$4-SUM(W$14:W213),W214),""))</f>
        <v/>
      </c>
    </row>
    <row r="215" spans="3:24" ht="15" hidden="1" customHeight="1" outlineLevel="1" x14ac:dyDescent="0.45">
      <c r="C215" s="124"/>
      <c r="D215" s="105"/>
      <c r="E215" s="131"/>
      <c r="F215" s="71"/>
      <c r="G215" s="78" t="str">
        <f t="shared" si="43"/>
        <v/>
      </c>
      <c r="H215" s="3">
        <f t="shared" si="44"/>
        <v>0</v>
      </c>
      <c r="I215" s="20" t="str">
        <f t="shared" si="45"/>
        <v/>
      </c>
      <c r="J215" s="94" t="str">
        <f t="shared" si="42"/>
        <v/>
      </c>
      <c r="K215" s="20" t="str">
        <f t="shared" si="46"/>
        <v/>
      </c>
      <c r="L215" s="94" t="str">
        <f t="shared" si="47"/>
        <v/>
      </c>
      <c r="M215" s="84" t="str">
        <f t="shared" si="48"/>
        <v/>
      </c>
      <c r="O215" s="36" t="str">
        <f t="shared" si="49"/>
        <v/>
      </c>
      <c r="P215" s="27" t="str">
        <f t="shared" si="50"/>
        <v/>
      </c>
      <c r="Q215" s="30" t="str">
        <f t="shared" si="51"/>
        <v/>
      </c>
      <c r="R215" s="19"/>
      <c r="S215" s="19" t="str">
        <f t="shared" si="52"/>
        <v/>
      </c>
      <c r="T215" s="19" t="str">
        <f t="shared" si="53"/>
        <v/>
      </c>
      <c r="U215" s="57" t="str">
        <f t="shared" si="54"/>
        <v/>
      </c>
      <c r="V215" s="57" t="str">
        <f t="shared" si="55"/>
        <v/>
      </c>
      <c r="W215" s="63" t="str">
        <f>IF(U215="","",IF(T216="",P$4-SUM(W$14:W214),IF((YEAR(O215)*1000+MONTH(O215))&gt;=P$9,IF((YEAR(O215)*1000+MONTH(O215))=P$9,ROUND(U215,0),ROUND(T215,0)),"")))</f>
        <v/>
      </c>
      <c r="X215" s="59" t="str">
        <f>IF(S$10="","",IF(P215&lt;=S$10,IF(P215=S$10,P$4-SUM(W$14:W214),W215),""))</f>
        <v/>
      </c>
    </row>
    <row r="216" spans="3:24" ht="15" hidden="1" customHeight="1" outlineLevel="1" x14ac:dyDescent="0.45">
      <c r="C216" s="124"/>
      <c r="D216" s="105"/>
      <c r="E216" s="131"/>
      <c r="F216" s="71"/>
      <c r="G216" s="78" t="str">
        <f t="shared" si="43"/>
        <v/>
      </c>
      <c r="H216" s="3">
        <f t="shared" si="44"/>
        <v>0</v>
      </c>
      <c r="I216" s="20" t="str">
        <f t="shared" si="45"/>
        <v/>
      </c>
      <c r="J216" s="94" t="str">
        <f t="shared" si="42"/>
        <v/>
      </c>
      <c r="K216" s="20" t="str">
        <f t="shared" si="46"/>
        <v/>
      </c>
      <c r="L216" s="94" t="str">
        <f t="shared" si="47"/>
        <v/>
      </c>
      <c r="M216" s="84" t="str">
        <f t="shared" si="48"/>
        <v/>
      </c>
      <c r="O216" s="36" t="str">
        <f t="shared" si="49"/>
        <v/>
      </c>
      <c r="P216" s="27" t="str">
        <f t="shared" si="50"/>
        <v/>
      </c>
      <c r="Q216" s="30" t="str">
        <f t="shared" si="51"/>
        <v/>
      </c>
      <c r="R216" s="19"/>
      <c r="S216" s="19" t="str">
        <f t="shared" si="52"/>
        <v/>
      </c>
      <c r="T216" s="19" t="str">
        <f t="shared" si="53"/>
        <v/>
      </c>
      <c r="U216" s="57" t="str">
        <f t="shared" si="54"/>
        <v/>
      </c>
      <c r="V216" s="57" t="str">
        <f t="shared" si="55"/>
        <v/>
      </c>
      <c r="W216" s="63" t="str">
        <f>IF(U216="","",IF(T217="",P$4-SUM(W$14:W215),IF((YEAR(O216)*1000+MONTH(O216))&gt;=P$9,IF((YEAR(O216)*1000+MONTH(O216))=P$9,ROUND(U216,0),ROUND(T216,0)),"")))</f>
        <v/>
      </c>
      <c r="X216" s="59" t="str">
        <f>IF(S$10="","",IF(P216&lt;=S$10,IF(P216=S$10,P$4-SUM(W$14:W215),W216),""))</f>
        <v/>
      </c>
    </row>
    <row r="217" spans="3:24" ht="15" hidden="1" customHeight="1" outlineLevel="1" x14ac:dyDescent="0.45">
      <c r="C217" s="124"/>
      <c r="D217" s="105"/>
      <c r="E217" s="131"/>
      <c r="F217" s="71"/>
      <c r="G217" s="78" t="str">
        <f t="shared" si="43"/>
        <v/>
      </c>
      <c r="H217" s="3">
        <f t="shared" si="44"/>
        <v>0</v>
      </c>
      <c r="I217" s="20" t="str">
        <f t="shared" si="45"/>
        <v/>
      </c>
      <c r="J217" s="94" t="str">
        <f t="shared" si="42"/>
        <v/>
      </c>
      <c r="K217" s="20" t="str">
        <f t="shared" si="46"/>
        <v/>
      </c>
      <c r="L217" s="94" t="str">
        <f t="shared" si="47"/>
        <v/>
      </c>
      <c r="M217" s="84" t="str">
        <f t="shared" si="48"/>
        <v/>
      </c>
      <c r="O217" s="36" t="str">
        <f t="shared" si="49"/>
        <v/>
      </c>
      <c r="P217" s="27" t="str">
        <f t="shared" si="50"/>
        <v/>
      </c>
      <c r="Q217" s="30" t="str">
        <f t="shared" si="51"/>
        <v/>
      </c>
      <c r="R217" s="19"/>
      <c r="S217" s="19" t="str">
        <f t="shared" si="52"/>
        <v/>
      </c>
      <c r="T217" s="19" t="str">
        <f t="shared" si="53"/>
        <v/>
      </c>
      <c r="U217" s="57" t="str">
        <f t="shared" si="54"/>
        <v/>
      </c>
      <c r="V217" s="57" t="str">
        <f t="shared" si="55"/>
        <v/>
      </c>
      <c r="W217" s="63" t="str">
        <f>IF(U217="","",IF(T218="",P$4-SUM(W$14:W216),IF((YEAR(O217)*1000+MONTH(O217))&gt;=P$9,IF((YEAR(O217)*1000+MONTH(O217))=P$9,ROUND(U217,0),ROUND(T217,0)),"")))</f>
        <v/>
      </c>
      <c r="X217" s="59" t="str">
        <f>IF(S$10="","",IF(P217&lt;=S$10,IF(P217=S$10,P$4-SUM(W$14:W216),W217),""))</f>
        <v/>
      </c>
    </row>
    <row r="218" spans="3:24" ht="15" hidden="1" customHeight="1" outlineLevel="1" x14ac:dyDescent="0.45">
      <c r="C218" s="124"/>
      <c r="D218" s="105"/>
      <c r="E218" s="131"/>
      <c r="F218" s="71"/>
      <c r="G218" s="78" t="str">
        <f t="shared" si="43"/>
        <v/>
      </c>
      <c r="H218" s="3">
        <f t="shared" si="44"/>
        <v>0</v>
      </c>
      <c r="I218" s="20" t="str">
        <f t="shared" si="45"/>
        <v/>
      </c>
      <c r="J218" s="94" t="str">
        <f t="shared" si="42"/>
        <v/>
      </c>
      <c r="K218" s="20" t="str">
        <f t="shared" si="46"/>
        <v/>
      </c>
      <c r="L218" s="94" t="str">
        <f t="shared" si="47"/>
        <v/>
      </c>
      <c r="M218" s="84" t="str">
        <f t="shared" si="48"/>
        <v/>
      </c>
      <c r="O218" s="36" t="str">
        <f t="shared" si="49"/>
        <v/>
      </c>
      <c r="P218" s="27" t="str">
        <f t="shared" si="50"/>
        <v/>
      </c>
      <c r="Q218" s="30" t="str">
        <f t="shared" si="51"/>
        <v/>
      </c>
      <c r="R218" s="19"/>
      <c r="S218" s="19" t="str">
        <f t="shared" si="52"/>
        <v/>
      </c>
      <c r="T218" s="19" t="str">
        <f t="shared" si="53"/>
        <v/>
      </c>
      <c r="U218" s="57" t="str">
        <f t="shared" si="54"/>
        <v/>
      </c>
      <c r="V218" s="57" t="str">
        <f t="shared" si="55"/>
        <v/>
      </c>
      <c r="W218" s="63" t="str">
        <f>IF(U218="","",IF(T219="",P$4-SUM(W$14:W217),IF((YEAR(O218)*1000+MONTH(O218))&gt;=P$9,IF((YEAR(O218)*1000+MONTH(O218))=P$9,ROUND(U218,0),ROUND(T218,0)),"")))</f>
        <v/>
      </c>
      <c r="X218" s="59" t="str">
        <f>IF(S$10="","",IF(P218&lt;=S$10,IF(P218=S$10,P$4-SUM(W$14:W217),W218),""))</f>
        <v/>
      </c>
    </row>
    <row r="219" spans="3:24" ht="15" hidden="1" customHeight="1" outlineLevel="1" x14ac:dyDescent="0.45">
      <c r="C219" s="124"/>
      <c r="D219" s="105"/>
      <c r="E219" s="131"/>
      <c r="F219" s="71"/>
      <c r="G219" s="78" t="str">
        <f t="shared" si="43"/>
        <v/>
      </c>
      <c r="H219" s="3">
        <f t="shared" si="44"/>
        <v>0</v>
      </c>
      <c r="I219" s="20" t="str">
        <f t="shared" si="45"/>
        <v/>
      </c>
      <c r="J219" s="94" t="str">
        <f t="shared" si="42"/>
        <v/>
      </c>
      <c r="K219" s="20" t="str">
        <f t="shared" si="46"/>
        <v/>
      </c>
      <c r="L219" s="94" t="str">
        <f t="shared" si="47"/>
        <v/>
      </c>
      <c r="M219" s="84" t="str">
        <f t="shared" si="48"/>
        <v/>
      </c>
      <c r="O219" s="36" t="str">
        <f t="shared" si="49"/>
        <v/>
      </c>
      <c r="P219" s="27" t="str">
        <f t="shared" si="50"/>
        <v/>
      </c>
      <c r="Q219" s="30" t="str">
        <f t="shared" si="51"/>
        <v/>
      </c>
      <c r="R219" s="19"/>
      <c r="S219" s="19" t="str">
        <f t="shared" si="52"/>
        <v/>
      </c>
      <c r="T219" s="19" t="str">
        <f t="shared" si="53"/>
        <v/>
      </c>
      <c r="U219" s="57" t="str">
        <f t="shared" si="54"/>
        <v/>
      </c>
      <c r="V219" s="57" t="str">
        <f t="shared" si="55"/>
        <v/>
      </c>
      <c r="W219" s="63" t="str">
        <f>IF(U219="","",IF(T220="",P$4-SUM(W$14:W218),IF((YEAR(O219)*1000+MONTH(O219))&gt;=P$9,IF((YEAR(O219)*1000+MONTH(O219))=P$9,ROUND(U219,0),ROUND(T219,0)),"")))</f>
        <v/>
      </c>
      <c r="X219" s="59" t="str">
        <f>IF(S$10="","",IF(P219&lt;=S$10,IF(P219=S$10,P$4-SUM(W$14:W218),W219),""))</f>
        <v/>
      </c>
    </row>
    <row r="220" spans="3:24" ht="15" hidden="1" customHeight="1" outlineLevel="1" x14ac:dyDescent="0.45">
      <c r="C220" s="124"/>
      <c r="D220" s="105"/>
      <c r="E220" s="131"/>
      <c r="F220" s="71"/>
      <c r="G220" s="78" t="str">
        <f t="shared" si="43"/>
        <v/>
      </c>
      <c r="H220" s="3">
        <f t="shared" si="44"/>
        <v>0</v>
      </c>
      <c r="I220" s="20" t="str">
        <f t="shared" si="45"/>
        <v/>
      </c>
      <c r="J220" s="94" t="str">
        <f t="shared" si="42"/>
        <v/>
      </c>
      <c r="K220" s="20" t="str">
        <f t="shared" si="46"/>
        <v/>
      </c>
      <c r="L220" s="94" t="str">
        <f t="shared" si="47"/>
        <v/>
      </c>
      <c r="M220" s="84" t="str">
        <f t="shared" si="48"/>
        <v/>
      </c>
      <c r="O220" s="36" t="str">
        <f t="shared" si="49"/>
        <v/>
      </c>
      <c r="P220" s="27" t="str">
        <f t="shared" si="50"/>
        <v/>
      </c>
      <c r="Q220" s="30" t="str">
        <f t="shared" si="51"/>
        <v/>
      </c>
      <c r="R220" s="19"/>
      <c r="S220" s="19" t="str">
        <f t="shared" si="52"/>
        <v/>
      </c>
      <c r="T220" s="19" t="str">
        <f t="shared" si="53"/>
        <v/>
      </c>
      <c r="U220" s="57" t="str">
        <f t="shared" si="54"/>
        <v/>
      </c>
      <c r="V220" s="57" t="str">
        <f t="shared" si="55"/>
        <v/>
      </c>
      <c r="W220" s="63" t="str">
        <f>IF(U220="","",IF(T221="",P$4-SUM(W$14:W219),IF((YEAR(O220)*1000+MONTH(O220))&gt;=P$9,IF((YEAR(O220)*1000+MONTH(O220))=P$9,ROUND(U220,0),ROUND(T220,0)),"")))</f>
        <v/>
      </c>
      <c r="X220" s="59" t="str">
        <f>IF(S$10="","",IF(P220&lt;=S$10,IF(P220=S$10,P$4-SUM(W$14:W219),W220),""))</f>
        <v/>
      </c>
    </row>
    <row r="221" spans="3:24" ht="15" hidden="1" customHeight="1" outlineLevel="1" x14ac:dyDescent="0.45">
      <c r="C221" s="124"/>
      <c r="D221" s="105"/>
      <c r="E221" s="131"/>
      <c r="F221" s="71"/>
      <c r="G221" s="78" t="str">
        <f t="shared" si="43"/>
        <v/>
      </c>
      <c r="H221" s="3">
        <f t="shared" si="44"/>
        <v>0</v>
      </c>
      <c r="I221" s="20" t="str">
        <f t="shared" si="45"/>
        <v/>
      </c>
      <c r="J221" s="94" t="str">
        <f t="shared" si="42"/>
        <v/>
      </c>
      <c r="K221" s="20" t="str">
        <f t="shared" si="46"/>
        <v/>
      </c>
      <c r="L221" s="94" t="str">
        <f t="shared" si="47"/>
        <v/>
      </c>
      <c r="M221" s="84" t="str">
        <f t="shared" si="48"/>
        <v/>
      </c>
      <c r="O221" s="36" t="str">
        <f t="shared" si="49"/>
        <v/>
      </c>
      <c r="P221" s="27" t="str">
        <f t="shared" si="50"/>
        <v/>
      </c>
      <c r="Q221" s="30" t="str">
        <f t="shared" si="51"/>
        <v/>
      </c>
      <c r="R221" s="19"/>
      <c r="S221" s="19" t="str">
        <f t="shared" si="52"/>
        <v/>
      </c>
      <c r="T221" s="19" t="str">
        <f t="shared" si="53"/>
        <v/>
      </c>
      <c r="U221" s="57" t="str">
        <f t="shared" si="54"/>
        <v/>
      </c>
      <c r="V221" s="57" t="str">
        <f t="shared" si="55"/>
        <v/>
      </c>
      <c r="W221" s="63" t="str">
        <f>IF(U221="","",IF(T222="",P$4-SUM(W$14:W220),IF((YEAR(O221)*1000+MONTH(O221))&gt;=P$9,IF((YEAR(O221)*1000+MONTH(O221))=P$9,ROUND(U221,0),ROUND(T221,0)),"")))</f>
        <v/>
      </c>
      <c r="X221" s="59" t="str">
        <f>IF(S$10="","",IF(P221&lt;=S$10,IF(P221=S$10,P$4-SUM(W$14:W220),W221),""))</f>
        <v/>
      </c>
    </row>
    <row r="222" spans="3:24" ht="15" hidden="1" customHeight="1" outlineLevel="1" x14ac:dyDescent="0.45">
      <c r="C222" s="124"/>
      <c r="D222" s="105"/>
      <c r="E222" s="131"/>
      <c r="F222" s="71"/>
      <c r="G222" s="78" t="str">
        <f t="shared" si="43"/>
        <v/>
      </c>
      <c r="H222" s="3">
        <f t="shared" si="44"/>
        <v>0</v>
      </c>
      <c r="I222" s="20" t="str">
        <f t="shared" si="45"/>
        <v/>
      </c>
      <c r="J222" s="94" t="str">
        <f t="shared" si="42"/>
        <v/>
      </c>
      <c r="K222" s="20" t="str">
        <f t="shared" si="46"/>
        <v/>
      </c>
      <c r="L222" s="94" t="str">
        <f t="shared" si="47"/>
        <v/>
      </c>
      <c r="M222" s="84" t="str">
        <f t="shared" si="48"/>
        <v/>
      </c>
      <c r="O222" s="36" t="str">
        <f t="shared" si="49"/>
        <v/>
      </c>
      <c r="P222" s="27" t="str">
        <f t="shared" si="50"/>
        <v/>
      </c>
      <c r="Q222" s="30" t="str">
        <f t="shared" si="51"/>
        <v/>
      </c>
      <c r="R222" s="19"/>
      <c r="S222" s="19" t="str">
        <f t="shared" si="52"/>
        <v/>
      </c>
      <c r="T222" s="19" t="str">
        <f t="shared" si="53"/>
        <v/>
      </c>
      <c r="U222" s="57" t="str">
        <f t="shared" si="54"/>
        <v/>
      </c>
      <c r="V222" s="57" t="str">
        <f t="shared" si="55"/>
        <v/>
      </c>
      <c r="W222" s="63" t="str">
        <f>IF(U222="","",IF(T223="",P$4-SUM(W$14:W221),IF((YEAR(O222)*1000+MONTH(O222))&gt;=P$9,IF((YEAR(O222)*1000+MONTH(O222))=P$9,ROUND(U222,0),ROUND(T222,0)),"")))</f>
        <v/>
      </c>
      <c r="X222" s="59" t="str">
        <f>IF(S$10="","",IF(P222&lt;=S$10,IF(P222=S$10,P$4-SUM(W$14:W221),W222),""))</f>
        <v/>
      </c>
    </row>
    <row r="223" spans="3:24" ht="15" hidden="1" customHeight="1" outlineLevel="1" x14ac:dyDescent="0.45">
      <c r="C223" s="124"/>
      <c r="D223" s="105"/>
      <c r="E223" s="131"/>
      <c r="F223" s="71"/>
      <c r="G223" s="78" t="str">
        <f t="shared" si="43"/>
        <v/>
      </c>
      <c r="H223" s="3">
        <f t="shared" si="44"/>
        <v>0</v>
      </c>
      <c r="I223" s="20" t="str">
        <f t="shared" si="45"/>
        <v/>
      </c>
      <c r="J223" s="94" t="str">
        <f t="shared" si="42"/>
        <v/>
      </c>
      <c r="K223" s="20" t="str">
        <f t="shared" si="46"/>
        <v/>
      </c>
      <c r="L223" s="94" t="str">
        <f t="shared" si="47"/>
        <v/>
      </c>
      <c r="M223" s="84" t="str">
        <f t="shared" si="48"/>
        <v/>
      </c>
      <c r="O223" s="36" t="str">
        <f t="shared" si="49"/>
        <v/>
      </c>
      <c r="P223" s="27" t="str">
        <f t="shared" si="50"/>
        <v/>
      </c>
      <c r="Q223" s="30" t="str">
        <f t="shared" si="51"/>
        <v/>
      </c>
      <c r="R223" s="19"/>
      <c r="S223" s="19" t="str">
        <f t="shared" si="52"/>
        <v/>
      </c>
      <c r="T223" s="19" t="str">
        <f t="shared" si="53"/>
        <v/>
      </c>
      <c r="U223" s="57" t="str">
        <f t="shared" si="54"/>
        <v/>
      </c>
      <c r="V223" s="57" t="str">
        <f t="shared" si="55"/>
        <v/>
      </c>
      <c r="W223" s="63" t="str">
        <f>IF(U223="","",IF(T224="",P$4-SUM(W$14:W222),IF((YEAR(O223)*1000+MONTH(O223))&gt;=P$9,IF((YEAR(O223)*1000+MONTH(O223))=P$9,ROUND(U223,0),ROUND(T223,0)),"")))</f>
        <v/>
      </c>
      <c r="X223" s="59" t="str">
        <f>IF(S$10="","",IF(P223&lt;=S$10,IF(P223=S$10,P$4-SUM(W$14:W222),W223),""))</f>
        <v/>
      </c>
    </row>
    <row r="224" spans="3:24" ht="15" hidden="1" customHeight="1" outlineLevel="1" x14ac:dyDescent="0.45">
      <c r="C224" s="124"/>
      <c r="D224" s="105"/>
      <c r="E224" s="131"/>
      <c r="F224" s="71"/>
      <c r="G224" s="78" t="str">
        <f t="shared" si="43"/>
        <v/>
      </c>
      <c r="H224" s="3">
        <f t="shared" si="44"/>
        <v>0</v>
      </c>
      <c r="I224" s="20" t="str">
        <f t="shared" si="45"/>
        <v/>
      </c>
      <c r="J224" s="94" t="str">
        <f t="shared" si="42"/>
        <v/>
      </c>
      <c r="K224" s="20" t="str">
        <f t="shared" si="46"/>
        <v/>
      </c>
      <c r="L224" s="94" t="str">
        <f t="shared" si="47"/>
        <v/>
      </c>
      <c r="M224" s="84" t="str">
        <f t="shared" si="48"/>
        <v/>
      </c>
      <c r="O224" s="36" t="str">
        <f t="shared" si="49"/>
        <v/>
      </c>
      <c r="P224" s="27" t="str">
        <f t="shared" si="50"/>
        <v/>
      </c>
      <c r="Q224" s="30" t="str">
        <f t="shared" si="51"/>
        <v/>
      </c>
      <c r="R224" s="19"/>
      <c r="S224" s="19" t="str">
        <f t="shared" si="52"/>
        <v/>
      </c>
      <c r="T224" s="19" t="str">
        <f t="shared" si="53"/>
        <v/>
      </c>
      <c r="U224" s="57" t="str">
        <f t="shared" si="54"/>
        <v/>
      </c>
      <c r="V224" s="57" t="str">
        <f t="shared" si="55"/>
        <v/>
      </c>
      <c r="W224" s="63" t="str">
        <f>IF(U224="","",IF(T225="",P$4-SUM(W$14:W223),IF((YEAR(O224)*1000+MONTH(O224))&gt;=P$9,IF((YEAR(O224)*1000+MONTH(O224))=P$9,ROUND(U224,0),ROUND(T224,0)),"")))</f>
        <v/>
      </c>
      <c r="X224" s="59" t="str">
        <f>IF(S$10="","",IF(P224&lt;=S$10,IF(P224=S$10,P$4-SUM(W$14:W223),W224),""))</f>
        <v/>
      </c>
    </row>
    <row r="225" spans="3:24" ht="15" hidden="1" customHeight="1" outlineLevel="1" x14ac:dyDescent="0.45">
      <c r="C225" s="124"/>
      <c r="D225" s="105"/>
      <c r="E225" s="131"/>
      <c r="F225" s="71"/>
      <c r="G225" s="78" t="str">
        <f t="shared" si="43"/>
        <v/>
      </c>
      <c r="H225" s="3">
        <f t="shared" si="44"/>
        <v>0</v>
      </c>
      <c r="I225" s="20" t="str">
        <f t="shared" si="45"/>
        <v/>
      </c>
      <c r="J225" s="94" t="str">
        <f t="shared" si="42"/>
        <v/>
      </c>
      <c r="K225" s="20" t="str">
        <f t="shared" si="46"/>
        <v/>
      </c>
      <c r="L225" s="94" t="str">
        <f t="shared" si="47"/>
        <v/>
      </c>
      <c r="M225" s="84" t="str">
        <f t="shared" si="48"/>
        <v/>
      </c>
      <c r="O225" s="36" t="str">
        <f t="shared" si="49"/>
        <v/>
      </c>
      <c r="P225" s="27" t="str">
        <f t="shared" si="50"/>
        <v/>
      </c>
      <c r="Q225" s="30" t="str">
        <f t="shared" si="51"/>
        <v/>
      </c>
      <c r="R225" s="19"/>
      <c r="S225" s="19" t="str">
        <f t="shared" si="52"/>
        <v/>
      </c>
      <c r="T225" s="19" t="str">
        <f t="shared" si="53"/>
        <v/>
      </c>
      <c r="U225" s="57" t="str">
        <f t="shared" si="54"/>
        <v/>
      </c>
      <c r="V225" s="57" t="str">
        <f t="shared" si="55"/>
        <v/>
      </c>
      <c r="W225" s="63" t="str">
        <f>IF(U225="","",IF(T226="",P$4-SUM(W$14:W224),IF((YEAR(O225)*1000+MONTH(O225))&gt;=P$9,IF((YEAR(O225)*1000+MONTH(O225))=P$9,ROUND(U225,0),ROUND(T225,0)),"")))</f>
        <v/>
      </c>
      <c r="X225" s="59" t="str">
        <f>IF(S$10="","",IF(P225&lt;=S$10,IF(P225=S$10,P$4-SUM(W$14:W224),W225),""))</f>
        <v/>
      </c>
    </row>
    <row r="226" spans="3:24" ht="15" hidden="1" customHeight="1" outlineLevel="1" x14ac:dyDescent="0.45">
      <c r="C226" s="124"/>
      <c r="D226" s="105"/>
      <c r="E226" s="131"/>
      <c r="F226" s="71"/>
      <c r="G226" s="78" t="str">
        <f t="shared" si="43"/>
        <v/>
      </c>
      <c r="H226" s="3">
        <f t="shared" si="44"/>
        <v>0</v>
      </c>
      <c r="I226" s="20" t="str">
        <f t="shared" si="45"/>
        <v/>
      </c>
      <c r="J226" s="94" t="str">
        <f t="shared" si="42"/>
        <v/>
      </c>
      <c r="K226" s="20" t="str">
        <f t="shared" si="46"/>
        <v/>
      </c>
      <c r="L226" s="94" t="str">
        <f t="shared" si="47"/>
        <v/>
      </c>
      <c r="M226" s="84" t="str">
        <f t="shared" si="48"/>
        <v/>
      </c>
      <c r="O226" s="36" t="str">
        <f t="shared" si="49"/>
        <v/>
      </c>
      <c r="P226" s="27" t="str">
        <f t="shared" si="50"/>
        <v/>
      </c>
      <c r="Q226" s="30" t="str">
        <f t="shared" si="51"/>
        <v/>
      </c>
      <c r="R226" s="19"/>
      <c r="S226" s="19" t="str">
        <f t="shared" si="52"/>
        <v/>
      </c>
      <c r="T226" s="19" t="str">
        <f t="shared" si="53"/>
        <v/>
      </c>
      <c r="U226" s="57" t="str">
        <f t="shared" si="54"/>
        <v/>
      </c>
      <c r="V226" s="57" t="str">
        <f t="shared" si="55"/>
        <v/>
      </c>
      <c r="W226" s="63" t="str">
        <f>IF(U226="","",IF(T227="",P$4-SUM(W$14:W225),IF((YEAR(O226)*1000+MONTH(O226))&gt;=P$9,IF((YEAR(O226)*1000+MONTH(O226))=P$9,ROUND(U226,0),ROUND(T226,0)),"")))</f>
        <v/>
      </c>
      <c r="X226" s="59" t="str">
        <f>IF(S$10="","",IF(P226&lt;=S$10,IF(P226=S$10,P$4-SUM(W$14:W225),W226),""))</f>
        <v/>
      </c>
    </row>
    <row r="227" spans="3:24" ht="15" hidden="1" customHeight="1" outlineLevel="1" x14ac:dyDescent="0.45">
      <c r="C227" s="124"/>
      <c r="D227" s="105"/>
      <c r="E227" s="131"/>
      <c r="F227" s="71"/>
      <c r="G227" s="78" t="str">
        <f t="shared" si="43"/>
        <v/>
      </c>
      <c r="H227" s="3">
        <f t="shared" si="44"/>
        <v>0</v>
      </c>
      <c r="I227" s="20" t="str">
        <f t="shared" si="45"/>
        <v/>
      </c>
      <c r="J227" s="94" t="str">
        <f t="shared" si="42"/>
        <v/>
      </c>
      <c r="K227" s="20" t="str">
        <f t="shared" si="46"/>
        <v/>
      </c>
      <c r="L227" s="94" t="str">
        <f t="shared" si="47"/>
        <v/>
      </c>
      <c r="M227" s="84" t="str">
        <f t="shared" si="48"/>
        <v/>
      </c>
      <c r="O227" s="36" t="str">
        <f t="shared" si="49"/>
        <v/>
      </c>
      <c r="P227" s="27" t="str">
        <f t="shared" si="50"/>
        <v/>
      </c>
      <c r="Q227" s="30" t="str">
        <f t="shared" si="51"/>
        <v/>
      </c>
      <c r="R227" s="19"/>
      <c r="S227" s="19" t="str">
        <f t="shared" si="52"/>
        <v/>
      </c>
      <c r="T227" s="19" t="str">
        <f t="shared" si="53"/>
        <v/>
      </c>
      <c r="U227" s="57" t="str">
        <f t="shared" si="54"/>
        <v/>
      </c>
      <c r="V227" s="57" t="str">
        <f t="shared" si="55"/>
        <v/>
      </c>
      <c r="W227" s="63" t="str">
        <f>IF(U227="","",IF(T228="",P$4-SUM(W$14:W226),IF((YEAR(O227)*1000+MONTH(O227))&gt;=P$9,IF((YEAR(O227)*1000+MONTH(O227))=P$9,ROUND(U227,0),ROUND(T227,0)),"")))</f>
        <v/>
      </c>
      <c r="X227" s="59" t="str">
        <f>IF(S$10="","",IF(P227&lt;=S$10,IF(P227=S$10,P$4-SUM(W$14:W226),W227),""))</f>
        <v/>
      </c>
    </row>
    <row r="228" spans="3:24" ht="15" hidden="1" customHeight="1" outlineLevel="1" x14ac:dyDescent="0.45">
      <c r="C228" s="124"/>
      <c r="D228" s="105"/>
      <c r="E228" s="131"/>
      <c r="F228" s="71"/>
      <c r="G228" s="78" t="str">
        <f t="shared" si="43"/>
        <v/>
      </c>
      <c r="H228" s="3">
        <f t="shared" si="44"/>
        <v>0</v>
      </c>
      <c r="I228" s="20" t="str">
        <f t="shared" si="45"/>
        <v/>
      </c>
      <c r="J228" s="94" t="str">
        <f t="shared" si="42"/>
        <v/>
      </c>
      <c r="K228" s="20" t="str">
        <f t="shared" si="46"/>
        <v/>
      </c>
      <c r="L228" s="94" t="str">
        <f t="shared" si="47"/>
        <v/>
      </c>
      <c r="M228" s="84" t="str">
        <f t="shared" si="48"/>
        <v/>
      </c>
      <c r="O228" s="36" t="str">
        <f t="shared" si="49"/>
        <v/>
      </c>
      <c r="P228" s="27" t="str">
        <f t="shared" si="50"/>
        <v/>
      </c>
      <c r="Q228" s="30" t="str">
        <f t="shared" si="51"/>
        <v/>
      </c>
      <c r="R228" s="19"/>
      <c r="S228" s="19" t="str">
        <f t="shared" si="52"/>
        <v/>
      </c>
      <c r="T228" s="19" t="str">
        <f t="shared" si="53"/>
        <v/>
      </c>
      <c r="U228" s="57" t="str">
        <f t="shared" si="54"/>
        <v/>
      </c>
      <c r="V228" s="57" t="str">
        <f t="shared" si="55"/>
        <v/>
      </c>
      <c r="W228" s="63" t="str">
        <f>IF(U228="","",IF(T229="",P$4-SUM(W$14:W227),IF((YEAR(O228)*1000+MONTH(O228))&gt;=P$9,IF((YEAR(O228)*1000+MONTH(O228))=P$9,ROUND(U228,0),ROUND(T228,0)),"")))</f>
        <v/>
      </c>
      <c r="X228" s="59" t="str">
        <f>IF(S$10="","",IF(P228&lt;=S$10,IF(P228=S$10,P$4-SUM(W$14:W227),W228),""))</f>
        <v/>
      </c>
    </row>
    <row r="229" spans="3:24" ht="15" hidden="1" customHeight="1" outlineLevel="1" x14ac:dyDescent="0.45">
      <c r="C229" s="124"/>
      <c r="D229" s="105"/>
      <c r="E229" s="131"/>
      <c r="F229" s="71"/>
      <c r="G229" s="78" t="str">
        <f t="shared" si="43"/>
        <v/>
      </c>
      <c r="H229" s="3">
        <f t="shared" si="44"/>
        <v>0</v>
      </c>
      <c r="I229" s="20" t="str">
        <f t="shared" si="45"/>
        <v/>
      </c>
      <c r="J229" s="94" t="str">
        <f t="shared" si="42"/>
        <v/>
      </c>
      <c r="K229" s="20" t="str">
        <f t="shared" si="46"/>
        <v/>
      </c>
      <c r="L229" s="94" t="str">
        <f t="shared" si="47"/>
        <v/>
      </c>
      <c r="M229" s="84" t="str">
        <f t="shared" si="48"/>
        <v/>
      </c>
      <c r="O229" s="36" t="str">
        <f t="shared" si="49"/>
        <v/>
      </c>
      <c r="P229" s="27" t="str">
        <f t="shared" si="50"/>
        <v/>
      </c>
      <c r="Q229" s="30" t="str">
        <f t="shared" si="51"/>
        <v/>
      </c>
      <c r="R229" s="19"/>
      <c r="S229" s="19" t="str">
        <f t="shared" si="52"/>
        <v/>
      </c>
      <c r="T229" s="19" t="str">
        <f t="shared" si="53"/>
        <v/>
      </c>
      <c r="U229" s="57" t="str">
        <f t="shared" si="54"/>
        <v/>
      </c>
      <c r="V229" s="57" t="str">
        <f t="shared" si="55"/>
        <v/>
      </c>
      <c r="W229" s="63" t="str">
        <f>IF(U229="","",IF(T230="",P$4-SUM(W$14:W228),IF((YEAR(O229)*1000+MONTH(O229))&gt;=P$9,IF((YEAR(O229)*1000+MONTH(O229))=P$9,ROUND(U229,0),ROUND(T229,0)),"")))</f>
        <v/>
      </c>
      <c r="X229" s="59" t="str">
        <f>IF(S$10="","",IF(P229&lt;=S$10,IF(P229=S$10,P$4-SUM(W$14:W228),W229),""))</f>
        <v/>
      </c>
    </row>
    <row r="230" spans="3:24" ht="15" hidden="1" customHeight="1" outlineLevel="1" x14ac:dyDescent="0.45">
      <c r="C230" s="124"/>
      <c r="D230" s="105"/>
      <c r="E230" s="131"/>
      <c r="F230" s="71"/>
      <c r="G230" s="78" t="str">
        <f t="shared" si="43"/>
        <v/>
      </c>
      <c r="H230" s="3">
        <f t="shared" si="44"/>
        <v>0</v>
      </c>
      <c r="I230" s="20" t="str">
        <f t="shared" si="45"/>
        <v/>
      </c>
      <c r="J230" s="94" t="str">
        <f t="shared" si="42"/>
        <v/>
      </c>
      <c r="K230" s="20" t="str">
        <f t="shared" si="46"/>
        <v/>
      </c>
      <c r="L230" s="94" t="str">
        <f t="shared" si="47"/>
        <v/>
      </c>
      <c r="M230" s="84" t="str">
        <f t="shared" si="48"/>
        <v/>
      </c>
      <c r="O230" s="36" t="str">
        <f t="shared" si="49"/>
        <v/>
      </c>
      <c r="P230" s="27" t="str">
        <f t="shared" si="50"/>
        <v/>
      </c>
      <c r="Q230" s="30" t="str">
        <f t="shared" si="51"/>
        <v/>
      </c>
      <c r="R230" s="19"/>
      <c r="S230" s="19" t="str">
        <f t="shared" si="52"/>
        <v/>
      </c>
      <c r="T230" s="19" t="str">
        <f t="shared" si="53"/>
        <v/>
      </c>
      <c r="U230" s="57" t="str">
        <f t="shared" si="54"/>
        <v/>
      </c>
      <c r="V230" s="57" t="str">
        <f t="shared" si="55"/>
        <v/>
      </c>
      <c r="W230" s="63" t="str">
        <f>IF(U230="","",IF(T231="",P$4-SUM(W$14:W229),IF((YEAR(O230)*1000+MONTH(O230))&gt;=P$9,IF((YEAR(O230)*1000+MONTH(O230))=P$9,ROUND(U230,0),ROUND(T230,0)),"")))</f>
        <v/>
      </c>
      <c r="X230" s="59" t="str">
        <f>IF(S$10="","",IF(P230&lt;=S$10,IF(P230=S$10,P$4-SUM(W$14:W229),W230),""))</f>
        <v/>
      </c>
    </row>
    <row r="231" spans="3:24" ht="15" hidden="1" customHeight="1" outlineLevel="1" x14ac:dyDescent="0.45">
      <c r="C231" s="124"/>
      <c r="D231" s="105"/>
      <c r="E231" s="131"/>
      <c r="F231" s="71"/>
      <c r="G231" s="78" t="str">
        <f t="shared" si="43"/>
        <v/>
      </c>
      <c r="H231" s="3">
        <f t="shared" si="44"/>
        <v>0</v>
      </c>
      <c r="I231" s="20" t="str">
        <f t="shared" si="45"/>
        <v/>
      </c>
      <c r="J231" s="94" t="str">
        <f t="shared" si="42"/>
        <v/>
      </c>
      <c r="K231" s="20" t="str">
        <f t="shared" si="46"/>
        <v/>
      </c>
      <c r="L231" s="94" t="str">
        <f t="shared" si="47"/>
        <v/>
      </c>
      <c r="M231" s="84" t="str">
        <f t="shared" si="48"/>
        <v/>
      </c>
      <c r="O231" s="36" t="str">
        <f t="shared" si="49"/>
        <v/>
      </c>
      <c r="P231" s="27" t="str">
        <f t="shared" si="50"/>
        <v/>
      </c>
      <c r="Q231" s="30" t="str">
        <f t="shared" si="51"/>
        <v/>
      </c>
      <c r="R231" s="19"/>
      <c r="S231" s="19" t="str">
        <f t="shared" si="52"/>
        <v/>
      </c>
      <c r="T231" s="19" t="str">
        <f t="shared" si="53"/>
        <v/>
      </c>
      <c r="U231" s="57" t="str">
        <f t="shared" si="54"/>
        <v/>
      </c>
      <c r="V231" s="57" t="str">
        <f t="shared" si="55"/>
        <v/>
      </c>
      <c r="W231" s="63" t="str">
        <f>IF(U231="","",IF(T232="",P$4-SUM(W$14:W230),IF((YEAR(O231)*1000+MONTH(O231))&gt;=P$9,IF((YEAR(O231)*1000+MONTH(O231))=P$9,ROUND(U231,0),ROUND(T231,0)),"")))</f>
        <v/>
      </c>
      <c r="X231" s="59" t="str">
        <f>IF(S$10="","",IF(P231&lt;=S$10,IF(P231=S$10,P$4-SUM(W$14:W230),W231),""))</f>
        <v/>
      </c>
    </row>
    <row r="232" spans="3:24" ht="15" hidden="1" customHeight="1" outlineLevel="1" x14ac:dyDescent="0.45">
      <c r="C232" s="124"/>
      <c r="D232" s="105"/>
      <c r="E232" s="131"/>
      <c r="F232" s="71"/>
      <c r="G232" s="78" t="str">
        <f t="shared" si="43"/>
        <v/>
      </c>
      <c r="H232" s="3">
        <f t="shared" si="44"/>
        <v>0</v>
      </c>
      <c r="I232" s="20" t="str">
        <f t="shared" si="45"/>
        <v/>
      </c>
      <c r="J232" s="94" t="str">
        <f t="shared" si="42"/>
        <v/>
      </c>
      <c r="K232" s="20" t="str">
        <f t="shared" si="46"/>
        <v/>
      </c>
      <c r="L232" s="94" t="str">
        <f t="shared" si="47"/>
        <v/>
      </c>
      <c r="M232" s="84" t="str">
        <f t="shared" si="48"/>
        <v/>
      </c>
      <c r="O232" s="36" t="str">
        <f t="shared" si="49"/>
        <v/>
      </c>
      <c r="P232" s="27" t="str">
        <f t="shared" si="50"/>
        <v/>
      </c>
      <c r="Q232" s="30" t="str">
        <f t="shared" si="51"/>
        <v/>
      </c>
      <c r="R232" s="19"/>
      <c r="S232" s="19" t="str">
        <f t="shared" si="52"/>
        <v/>
      </c>
      <c r="T232" s="19" t="str">
        <f t="shared" si="53"/>
        <v/>
      </c>
      <c r="U232" s="57" t="str">
        <f t="shared" si="54"/>
        <v/>
      </c>
      <c r="V232" s="57" t="str">
        <f t="shared" si="55"/>
        <v/>
      </c>
      <c r="W232" s="63" t="str">
        <f>IF(U232="","",IF(T233="",P$4-SUM(W$14:W231),IF((YEAR(O232)*1000+MONTH(O232))&gt;=P$9,IF((YEAR(O232)*1000+MONTH(O232))=P$9,ROUND(U232,0),ROUND(T232,0)),"")))</f>
        <v/>
      </c>
      <c r="X232" s="59" t="str">
        <f>IF(S$10="","",IF(P232&lt;=S$10,IF(P232=S$10,P$4-SUM(W$14:W231),W232),""))</f>
        <v/>
      </c>
    </row>
    <row r="233" spans="3:24" ht="15" hidden="1" customHeight="1" outlineLevel="1" x14ac:dyDescent="0.45">
      <c r="C233" s="124"/>
      <c r="D233" s="105"/>
      <c r="E233" s="131"/>
      <c r="F233" s="71"/>
      <c r="G233" s="78" t="str">
        <f t="shared" si="43"/>
        <v/>
      </c>
      <c r="H233" s="3">
        <f t="shared" si="44"/>
        <v>0</v>
      </c>
      <c r="I233" s="20" t="str">
        <f t="shared" si="45"/>
        <v/>
      </c>
      <c r="J233" s="94" t="str">
        <f t="shared" si="42"/>
        <v/>
      </c>
      <c r="K233" s="20" t="str">
        <f t="shared" si="46"/>
        <v/>
      </c>
      <c r="L233" s="94" t="str">
        <f t="shared" si="47"/>
        <v/>
      </c>
      <c r="M233" s="84" t="str">
        <f t="shared" si="48"/>
        <v/>
      </c>
      <c r="O233" s="36" t="str">
        <f t="shared" si="49"/>
        <v/>
      </c>
      <c r="P233" s="27" t="str">
        <f t="shared" si="50"/>
        <v/>
      </c>
      <c r="Q233" s="30" t="str">
        <f t="shared" si="51"/>
        <v/>
      </c>
      <c r="R233" s="19"/>
      <c r="S233" s="19" t="str">
        <f t="shared" si="52"/>
        <v/>
      </c>
      <c r="T233" s="19" t="str">
        <f t="shared" si="53"/>
        <v/>
      </c>
      <c r="U233" s="57" t="str">
        <f t="shared" si="54"/>
        <v/>
      </c>
      <c r="V233" s="57" t="str">
        <f t="shared" si="55"/>
        <v/>
      </c>
      <c r="W233" s="63" t="str">
        <f>IF(U233="","",IF(T234="",P$4-SUM(W$14:W232),IF((YEAR(O233)*1000+MONTH(O233))&gt;=P$9,IF((YEAR(O233)*1000+MONTH(O233))=P$9,ROUND(U233,0),ROUND(T233,0)),"")))</f>
        <v/>
      </c>
      <c r="X233" s="59" t="str">
        <f>IF(S$10="","",IF(P233&lt;=S$10,IF(P233=S$10,P$4-SUM(W$14:W232),W233),""))</f>
        <v/>
      </c>
    </row>
    <row r="234" spans="3:24" ht="15" hidden="1" customHeight="1" outlineLevel="1" x14ac:dyDescent="0.45">
      <c r="C234" s="124"/>
      <c r="D234" s="105"/>
      <c r="E234" s="131"/>
      <c r="F234" s="71"/>
      <c r="G234" s="78" t="str">
        <f t="shared" si="43"/>
        <v/>
      </c>
      <c r="H234" s="3">
        <f t="shared" si="44"/>
        <v>0</v>
      </c>
      <c r="I234" s="20" t="str">
        <f t="shared" si="45"/>
        <v/>
      </c>
      <c r="J234" s="94" t="str">
        <f t="shared" si="42"/>
        <v/>
      </c>
      <c r="K234" s="20" t="str">
        <f t="shared" si="46"/>
        <v/>
      </c>
      <c r="L234" s="94" t="str">
        <f t="shared" si="47"/>
        <v/>
      </c>
      <c r="M234" s="84" t="str">
        <f t="shared" si="48"/>
        <v/>
      </c>
      <c r="O234" s="36" t="str">
        <f t="shared" si="49"/>
        <v/>
      </c>
      <c r="P234" s="27" t="str">
        <f t="shared" si="50"/>
        <v/>
      </c>
      <c r="Q234" s="30" t="str">
        <f t="shared" si="51"/>
        <v/>
      </c>
      <c r="R234" s="19"/>
      <c r="S234" s="19" t="str">
        <f t="shared" si="52"/>
        <v/>
      </c>
      <c r="T234" s="19" t="str">
        <f t="shared" si="53"/>
        <v/>
      </c>
      <c r="U234" s="57" t="str">
        <f t="shared" si="54"/>
        <v/>
      </c>
      <c r="V234" s="57" t="str">
        <f t="shared" si="55"/>
        <v/>
      </c>
      <c r="W234" s="63" t="str">
        <f>IF(U234="","",IF(T235="",P$4-SUM(W$14:W233),IF((YEAR(O234)*1000+MONTH(O234))&gt;=P$9,IF((YEAR(O234)*1000+MONTH(O234))=P$9,ROUND(U234,0),ROUND(T234,0)),"")))</f>
        <v/>
      </c>
      <c r="X234" s="59" t="str">
        <f>IF(S$10="","",IF(P234&lt;=S$10,IF(P234=S$10,P$4-SUM(W$14:W233),W234),""))</f>
        <v/>
      </c>
    </row>
    <row r="235" spans="3:24" ht="15" hidden="1" customHeight="1" outlineLevel="1" x14ac:dyDescent="0.45">
      <c r="C235" s="124"/>
      <c r="D235" s="105"/>
      <c r="E235" s="131"/>
      <c r="F235" s="71"/>
      <c r="G235" s="78" t="str">
        <f t="shared" si="43"/>
        <v/>
      </c>
      <c r="H235" s="3">
        <f t="shared" si="44"/>
        <v>0</v>
      </c>
      <c r="I235" s="20" t="str">
        <f t="shared" si="45"/>
        <v/>
      </c>
      <c r="J235" s="94" t="str">
        <f t="shared" si="42"/>
        <v/>
      </c>
      <c r="K235" s="20" t="str">
        <f t="shared" si="46"/>
        <v/>
      </c>
      <c r="L235" s="94" t="str">
        <f t="shared" si="47"/>
        <v/>
      </c>
      <c r="M235" s="84" t="str">
        <f t="shared" si="48"/>
        <v/>
      </c>
      <c r="O235" s="36" t="str">
        <f t="shared" si="49"/>
        <v/>
      </c>
      <c r="P235" s="27" t="str">
        <f t="shared" si="50"/>
        <v/>
      </c>
      <c r="Q235" s="30" t="str">
        <f t="shared" si="51"/>
        <v/>
      </c>
      <c r="R235" s="19"/>
      <c r="S235" s="19" t="str">
        <f t="shared" si="52"/>
        <v/>
      </c>
      <c r="T235" s="19" t="str">
        <f t="shared" si="53"/>
        <v/>
      </c>
      <c r="U235" s="57" t="str">
        <f t="shared" si="54"/>
        <v/>
      </c>
      <c r="V235" s="57" t="str">
        <f t="shared" si="55"/>
        <v/>
      </c>
      <c r="W235" s="63" t="str">
        <f>IF(U235="","",IF(T236="",P$4-SUM(W$14:W234),IF((YEAR(O235)*1000+MONTH(O235))&gt;=P$9,IF((YEAR(O235)*1000+MONTH(O235))=P$9,ROUND(U235,0),ROUND(T235,0)),"")))</f>
        <v/>
      </c>
      <c r="X235" s="59" t="str">
        <f>IF(S$10="","",IF(P235&lt;=S$10,IF(P235=S$10,P$4-SUM(W$14:W234),W235),""))</f>
        <v/>
      </c>
    </row>
    <row r="236" spans="3:24" ht="15" hidden="1" customHeight="1" outlineLevel="1" x14ac:dyDescent="0.45">
      <c r="C236" s="124"/>
      <c r="D236" s="105"/>
      <c r="E236" s="131"/>
      <c r="F236" s="71"/>
      <c r="G236" s="78" t="str">
        <f t="shared" si="43"/>
        <v/>
      </c>
      <c r="H236" s="3">
        <f t="shared" si="44"/>
        <v>0</v>
      </c>
      <c r="I236" s="20" t="str">
        <f t="shared" si="45"/>
        <v/>
      </c>
      <c r="J236" s="94" t="str">
        <f t="shared" si="42"/>
        <v/>
      </c>
      <c r="K236" s="20" t="str">
        <f t="shared" si="46"/>
        <v/>
      </c>
      <c r="L236" s="94" t="str">
        <f t="shared" si="47"/>
        <v/>
      </c>
      <c r="M236" s="84" t="str">
        <f t="shared" si="48"/>
        <v/>
      </c>
      <c r="O236" s="36" t="str">
        <f t="shared" si="49"/>
        <v/>
      </c>
      <c r="P236" s="27" t="str">
        <f t="shared" si="50"/>
        <v/>
      </c>
      <c r="Q236" s="30" t="str">
        <f t="shared" si="51"/>
        <v/>
      </c>
      <c r="R236" s="19"/>
      <c r="S236" s="19" t="str">
        <f t="shared" si="52"/>
        <v/>
      </c>
      <c r="T236" s="19" t="str">
        <f t="shared" si="53"/>
        <v/>
      </c>
      <c r="U236" s="57" t="str">
        <f t="shared" si="54"/>
        <v/>
      </c>
      <c r="V236" s="57" t="str">
        <f t="shared" si="55"/>
        <v/>
      </c>
      <c r="W236" s="63" t="str">
        <f>IF(U236="","",IF(T237="",P$4-SUM(W$14:W235),IF((YEAR(O236)*1000+MONTH(O236))&gt;=P$9,IF((YEAR(O236)*1000+MONTH(O236))=P$9,ROUND(U236,0),ROUND(T236,0)),"")))</f>
        <v/>
      </c>
      <c r="X236" s="59" t="str">
        <f>IF(S$10="","",IF(P236&lt;=S$10,IF(P236=S$10,P$4-SUM(W$14:W235),W236),""))</f>
        <v/>
      </c>
    </row>
    <row r="237" spans="3:24" ht="15" hidden="1" customHeight="1" outlineLevel="1" x14ac:dyDescent="0.45">
      <c r="C237" s="124"/>
      <c r="D237" s="105"/>
      <c r="E237" s="131"/>
      <c r="F237" s="71"/>
      <c r="G237" s="78" t="str">
        <f t="shared" si="43"/>
        <v/>
      </c>
      <c r="H237" s="3">
        <f t="shared" si="44"/>
        <v>0</v>
      </c>
      <c r="I237" s="20" t="str">
        <f t="shared" si="45"/>
        <v/>
      </c>
      <c r="J237" s="94" t="str">
        <f t="shared" si="42"/>
        <v/>
      </c>
      <c r="K237" s="20" t="str">
        <f t="shared" si="46"/>
        <v/>
      </c>
      <c r="L237" s="94" t="str">
        <f t="shared" si="47"/>
        <v/>
      </c>
      <c r="M237" s="84" t="str">
        <f t="shared" si="48"/>
        <v/>
      </c>
      <c r="O237" s="36" t="str">
        <f t="shared" si="49"/>
        <v/>
      </c>
      <c r="P237" s="27" t="str">
        <f t="shared" si="50"/>
        <v/>
      </c>
      <c r="Q237" s="30" t="str">
        <f t="shared" si="51"/>
        <v/>
      </c>
      <c r="R237" s="19"/>
      <c r="S237" s="19" t="str">
        <f t="shared" si="52"/>
        <v/>
      </c>
      <c r="T237" s="19" t="str">
        <f t="shared" si="53"/>
        <v/>
      </c>
      <c r="U237" s="57" t="str">
        <f t="shared" si="54"/>
        <v/>
      </c>
      <c r="V237" s="57" t="str">
        <f t="shared" si="55"/>
        <v/>
      </c>
      <c r="W237" s="63" t="str">
        <f>IF(U237="","",IF(T238="",P$4-SUM(W$14:W236),IF((YEAR(O237)*1000+MONTH(O237))&gt;=P$9,IF((YEAR(O237)*1000+MONTH(O237))=P$9,ROUND(U237,0),ROUND(T237,0)),"")))</f>
        <v/>
      </c>
      <c r="X237" s="59" t="str">
        <f>IF(S$10="","",IF(P237&lt;=S$10,IF(P237=S$10,P$4-SUM(W$14:W236),W237),""))</f>
        <v/>
      </c>
    </row>
    <row r="238" spans="3:24" ht="15" hidden="1" customHeight="1" outlineLevel="1" x14ac:dyDescent="0.45">
      <c r="C238" s="124"/>
      <c r="D238" s="105"/>
      <c r="E238" s="131"/>
      <c r="F238" s="71"/>
      <c r="G238" s="78" t="str">
        <f t="shared" si="43"/>
        <v/>
      </c>
      <c r="H238" s="3">
        <f t="shared" si="44"/>
        <v>0</v>
      </c>
      <c r="I238" s="20" t="str">
        <f t="shared" si="45"/>
        <v/>
      </c>
      <c r="J238" s="94" t="str">
        <f t="shared" si="42"/>
        <v/>
      </c>
      <c r="K238" s="20" t="str">
        <f t="shared" si="46"/>
        <v/>
      </c>
      <c r="L238" s="94" t="str">
        <f t="shared" si="47"/>
        <v/>
      </c>
      <c r="M238" s="84" t="str">
        <f t="shared" si="48"/>
        <v/>
      </c>
      <c r="O238" s="36" t="str">
        <f t="shared" si="49"/>
        <v/>
      </c>
      <c r="P238" s="27" t="str">
        <f t="shared" si="50"/>
        <v/>
      </c>
      <c r="Q238" s="30" t="str">
        <f t="shared" si="51"/>
        <v/>
      </c>
      <c r="R238" s="19"/>
      <c r="S238" s="19" t="str">
        <f t="shared" si="52"/>
        <v/>
      </c>
      <c r="T238" s="19" t="str">
        <f t="shared" si="53"/>
        <v/>
      </c>
      <c r="U238" s="57" t="str">
        <f t="shared" si="54"/>
        <v/>
      </c>
      <c r="V238" s="57" t="str">
        <f t="shared" si="55"/>
        <v/>
      </c>
      <c r="W238" s="63" t="str">
        <f>IF(U238="","",IF(T239="",P$4-SUM(W$14:W237),IF((YEAR(O238)*1000+MONTH(O238))&gt;=P$9,IF((YEAR(O238)*1000+MONTH(O238))=P$9,ROUND(U238,0),ROUND(T238,0)),"")))</f>
        <v/>
      </c>
      <c r="X238" s="59" t="str">
        <f>IF(S$10="","",IF(P238&lt;=S$10,IF(P238=S$10,P$4-SUM(W$14:W237),W238),""))</f>
        <v/>
      </c>
    </row>
    <row r="239" spans="3:24" ht="15" hidden="1" customHeight="1" outlineLevel="1" x14ac:dyDescent="0.45">
      <c r="C239" s="124"/>
      <c r="D239" s="105"/>
      <c r="E239" s="131"/>
      <c r="F239" s="71"/>
      <c r="G239" s="78" t="str">
        <f t="shared" si="43"/>
        <v/>
      </c>
      <c r="H239" s="3">
        <f t="shared" si="44"/>
        <v>0</v>
      </c>
      <c r="I239" s="20" t="str">
        <f t="shared" si="45"/>
        <v/>
      </c>
      <c r="J239" s="94" t="str">
        <f t="shared" si="42"/>
        <v/>
      </c>
      <c r="K239" s="20" t="str">
        <f t="shared" si="46"/>
        <v/>
      </c>
      <c r="L239" s="94" t="str">
        <f t="shared" si="47"/>
        <v/>
      </c>
      <c r="M239" s="84" t="str">
        <f t="shared" si="48"/>
        <v/>
      </c>
      <c r="O239" s="36" t="str">
        <f t="shared" si="49"/>
        <v/>
      </c>
      <c r="P239" s="27" t="str">
        <f t="shared" si="50"/>
        <v/>
      </c>
      <c r="Q239" s="30" t="str">
        <f t="shared" si="51"/>
        <v/>
      </c>
      <c r="R239" s="19"/>
      <c r="S239" s="19" t="str">
        <f t="shared" si="52"/>
        <v/>
      </c>
      <c r="T239" s="19" t="str">
        <f t="shared" si="53"/>
        <v/>
      </c>
      <c r="U239" s="57" t="str">
        <f t="shared" si="54"/>
        <v/>
      </c>
      <c r="V239" s="57" t="str">
        <f t="shared" si="55"/>
        <v/>
      </c>
      <c r="W239" s="63" t="str">
        <f>IF(U239="","",IF(T240="",P$4-SUM(W$14:W238),IF((YEAR(O239)*1000+MONTH(O239))&gt;=P$9,IF((YEAR(O239)*1000+MONTH(O239))=P$9,ROUND(U239,0),ROUND(T239,0)),"")))</f>
        <v/>
      </c>
      <c r="X239" s="59" t="str">
        <f>IF(S$10="","",IF(P239&lt;=S$10,IF(P239=S$10,P$4-SUM(W$14:W238),W239),""))</f>
        <v/>
      </c>
    </row>
    <row r="240" spans="3:24" ht="15" hidden="1" customHeight="1" outlineLevel="1" x14ac:dyDescent="0.45">
      <c r="C240" s="124"/>
      <c r="D240" s="105"/>
      <c r="E240" s="131"/>
      <c r="F240" s="71"/>
      <c r="G240" s="78" t="str">
        <f t="shared" si="43"/>
        <v/>
      </c>
      <c r="H240" s="3">
        <f t="shared" si="44"/>
        <v>0</v>
      </c>
      <c r="I240" s="20" t="str">
        <f t="shared" si="45"/>
        <v/>
      </c>
      <c r="J240" s="94" t="str">
        <f t="shared" si="42"/>
        <v/>
      </c>
      <c r="K240" s="20" t="str">
        <f t="shared" si="46"/>
        <v/>
      </c>
      <c r="L240" s="94" t="str">
        <f t="shared" si="47"/>
        <v/>
      </c>
      <c r="M240" s="84" t="str">
        <f t="shared" si="48"/>
        <v/>
      </c>
      <c r="O240" s="36" t="str">
        <f t="shared" si="49"/>
        <v/>
      </c>
      <c r="P240" s="27" t="str">
        <f t="shared" si="50"/>
        <v/>
      </c>
      <c r="Q240" s="30" t="str">
        <f t="shared" si="51"/>
        <v/>
      </c>
      <c r="R240" s="19"/>
      <c r="S240" s="19" t="str">
        <f t="shared" si="52"/>
        <v/>
      </c>
      <c r="T240" s="19" t="str">
        <f t="shared" si="53"/>
        <v/>
      </c>
      <c r="U240" s="57" t="str">
        <f t="shared" si="54"/>
        <v/>
      </c>
      <c r="V240" s="57" t="str">
        <f t="shared" si="55"/>
        <v/>
      </c>
      <c r="W240" s="63" t="str">
        <f>IF(U240="","",IF(T241="",P$4-SUM(W$14:W239),IF((YEAR(O240)*1000+MONTH(O240))&gt;=P$9,IF((YEAR(O240)*1000+MONTH(O240))=P$9,ROUND(U240,0),ROUND(T240,0)),"")))</f>
        <v/>
      </c>
      <c r="X240" s="59" t="str">
        <f>IF(S$10="","",IF(P240&lt;=S$10,IF(P240=S$10,P$4-SUM(W$14:W239),W240),""))</f>
        <v/>
      </c>
    </row>
    <row r="241" spans="3:24" ht="15" hidden="1" customHeight="1" outlineLevel="1" x14ac:dyDescent="0.45">
      <c r="C241" s="124"/>
      <c r="D241" s="105"/>
      <c r="E241" s="131"/>
      <c r="F241" s="71"/>
      <c r="G241" s="78" t="str">
        <f t="shared" si="43"/>
        <v/>
      </c>
      <c r="H241" s="3">
        <f t="shared" si="44"/>
        <v>0</v>
      </c>
      <c r="I241" s="20" t="str">
        <f t="shared" si="45"/>
        <v/>
      </c>
      <c r="J241" s="94" t="str">
        <f t="shared" si="42"/>
        <v/>
      </c>
      <c r="K241" s="20" t="str">
        <f t="shared" si="46"/>
        <v/>
      </c>
      <c r="L241" s="94" t="str">
        <f t="shared" si="47"/>
        <v/>
      </c>
      <c r="M241" s="84" t="str">
        <f t="shared" si="48"/>
        <v/>
      </c>
      <c r="O241" s="36" t="str">
        <f t="shared" si="49"/>
        <v/>
      </c>
      <c r="P241" s="27" t="str">
        <f t="shared" si="50"/>
        <v/>
      </c>
      <c r="Q241" s="30" t="str">
        <f t="shared" si="51"/>
        <v/>
      </c>
      <c r="R241" s="19"/>
      <c r="S241" s="19" t="str">
        <f t="shared" si="52"/>
        <v/>
      </c>
      <c r="T241" s="19" t="str">
        <f t="shared" si="53"/>
        <v/>
      </c>
      <c r="U241" s="57" t="str">
        <f t="shared" si="54"/>
        <v/>
      </c>
      <c r="V241" s="57" t="str">
        <f t="shared" si="55"/>
        <v/>
      </c>
      <c r="W241" s="63" t="str">
        <f>IF(U241="","",IF(T242="",P$4-SUM(W$14:W240),IF((YEAR(O241)*1000+MONTH(O241))&gt;=P$9,IF((YEAR(O241)*1000+MONTH(O241))=P$9,ROUND(U241,0),ROUND(T241,0)),"")))</f>
        <v/>
      </c>
      <c r="X241" s="59" t="str">
        <f>IF(S$10="","",IF(P241&lt;=S$10,IF(P241=S$10,P$4-SUM(W$14:W240),W241),""))</f>
        <v/>
      </c>
    </row>
    <row r="242" spans="3:24" ht="15" hidden="1" customHeight="1" outlineLevel="1" x14ac:dyDescent="0.45">
      <c r="C242" s="124"/>
      <c r="D242" s="105"/>
      <c r="E242" s="131"/>
      <c r="F242" s="71"/>
      <c r="G242" s="78" t="str">
        <f t="shared" si="43"/>
        <v/>
      </c>
      <c r="H242" s="3">
        <f t="shared" si="44"/>
        <v>0</v>
      </c>
      <c r="I242" s="20" t="str">
        <f t="shared" si="45"/>
        <v/>
      </c>
      <c r="J242" s="94" t="str">
        <f t="shared" si="42"/>
        <v/>
      </c>
      <c r="K242" s="20" t="str">
        <f t="shared" si="46"/>
        <v/>
      </c>
      <c r="L242" s="94" t="str">
        <f t="shared" si="47"/>
        <v/>
      </c>
      <c r="M242" s="84" t="str">
        <f t="shared" si="48"/>
        <v/>
      </c>
      <c r="O242" s="36" t="str">
        <f t="shared" si="49"/>
        <v/>
      </c>
      <c r="P242" s="27" t="str">
        <f t="shared" si="50"/>
        <v/>
      </c>
      <c r="Q242" s="30" t="str">
        <f t="shared" si="51"/>
        <v/>
      </c>
      <c r="R242" s="19"/>
      <c r="S242" s="19" t="str">
        <f t="shared" si="52"/>
        <v/>
      </c>
      <c r="T242" s="19" t="str">
        <f t="shared" si="53"/>
        <v/>
      </c>
      <c r="U242" s="57" t="str">
        <f t="shared" si="54"/>
        <v/>
      </c>
      <c r="V242" s="57" t="str">
        <f t="shared" si="55"/>
        <v/>
      </c>
      <c r="W242" s="63" t="str">
        <f>IF(U242="","",IF(T243="",P$4-SUM(W$14:W241),IF((YEAR(O242)*1000+MONTH(O242))&gt;=P$9,IF((YEAR(O242)*1000+MONTH(O242))=P$9,ROUND(U242,0),ROUND(T242,0)),"")))</f>
        <v/>
      </c>
      <c r="X242" s="59" t="str">
        <f>IF(S$10="","",IF(P242&lt;=S$10,IF(P242=S$10,P$4-SUM(W$14:W241),W242),""))</f>
        <v/>
      </c>
    </row>
    <row r="243" spans="3:24" ht="15" hidden="1" customHeight="1" outlineLevel="1" x14ac:dyDescent="0.45">
      <c r="C243" s="124"/>
      <c r="D243" s="105"/>
      <c r="E243" s="131"/>
      <c r="F243" s="71"/>
      <c r="G243" s="78" t="str">
        <f t="shared" si="43"/>
        <v/>
      </c>
      <c r="H243" s="3">
        <f t="shared" si="44"/>
        <v>0</v>
      </c>
      <c r="I243" s="20" t="str">
        <f t="shared" si="45"/>
        <v/>
      </c>
      <c r="J243" s="94" t="str">
        <f t="shared" si="42"/>
        <v/>
      </c>
      <c r="K243" s="20" t="str">
        <f t="shared" si="46"/>
        <v/>
      </c>
      <c r="L243" s="94" t="str">
        <f t="shared" si="47"/>
        <v/>
      </c>
      <c r="M243" s="84" t="str">
        <f t="shared" si="48"/>
        <v/>
      </c>
      <c r="O243" s="36" t="str">
        <f t="shared" si="49"/>
        <v/>
      </c>
      <c r="P243" s="27" t="str">
        <f t="shared" si="50"/>
        <v/>
      </c>
      <c r="Q243" s="30" t="str">
        <f t="shared" si="51"/>
        <v/>
      </c>
      <c r="R243" s="19"/>
      <c r="S243" s="19" t="str">
        <f t="shared" si="52"/>
        <v/>
      </c>
      <c r="T243" s="19" t="str">
        <f t="shared" si="53"/>
        <v/>
      </c>
      <c r="U243" s="57" t="str">
        <f t="shared" si="54"/>
        <v/>
      </c>
      <c r="V243" s="57" t="str">
        <f t="shared" si="55"/>
        <v/>
      </c>
      <c r="W243" s="63" t="str">
        <f>IF(U243="","",IF(T244="",P$4-SUM(W$14:W242),IF((YEAR(O243)*1000+MONTH(O243))&gt;=P$9,IF((YEAR(O243)*1000+MONTH(O243))=P$9,ROUND(U243,0),ROUND(T243,0)),"")))</f>
        <v/>
      </c>
      <c r="X243" s="59" t="str">
        <f>IF(S$10="","",IF(P243&lt;=S$10,IF(P243=S$10,P$4-SUM(W$14:W242),W243),""))</f>
        <v/>
      </c>
    </row>
    <row r="244" spans="3:24" ht="15" hidden="1" customHeight="1" outlineLevel="1" x14ac:dyDescent="0.45">
      <c r="C244" s="124"/>
      <c r="D244" s="105"/>
      <c r="E244" s="131"/>
      <c r="F244" s="71"/>
      <c r="G244" s="78" t="str">
        <f t="shared" si="43"/>
        <v/>
      </c>
      <c r="H244" s="3">
        <f t="shared" si="44"/>
        <v>0</v>
      </c>
      <c r="I244" s="20" t="str">
        <f t="shared" si="45"/>
        <v/>
      </c>
      <c r="J244" s="94" t="str">
        <f t="shared" si="42"/>
        <v/>
      </c>
      <c r="K244" s="20" t="str">
        <f t="shared" si="46"/>
        <v/>
      </c>
      <c r="L244" s="94" t="str">
        <f t="shared" si="47"/>
        <v/>
      </c>
      <c r="M244" s="84" t="str">
        <f t="shared" si="48"/>
        <v/>
      </c>
      <c r="O244" s="36" t="str">
        <f t="shared" si="49"/>
        <v/>
      </c>
      <c r="P244" s="27" t="str">
        <f t="shared" si="50"/>
        <v/>
      </c>
      <c r="Q244" s="30" t="str">
        <f t="shared" si="51"/>
        <v/>
      </c>
      <c r="R244" s="19"/>
      <c r="S244" s="19" t="str">
        <f t="shared" si="52"/>
        <v/>
      </c>
      <c r="T244" s="19" t="str">
        <f t="shared" si="53"/>
        <v/>
      </c>
      <c r="U244" s="57" t="str">
        <f t="shared" si="54"/>
        <v/>
      </c>
      <c r="V244" s="57" t="str">
        <f t="shared" si="55"/>
        <v/>
      </c>
      <c r="W244" s="63" t="str">
        <f>IF(U244="","",IF(T245="",P$4-SUM(W$14:W243),IF((YEAR(O244)*1000+MONTH(O244))&gt;=P$9,IF((YEAR(O244)*1000+MONTH(O244))=P$9,ROUND(U244,0),ROUND(T244,0)),"")))</f>
        <v/>
      </c>
      <c r="X244" s="59" t="str">
        <f>IF(S$10="","",IF(P244&lt;=S$10,IF(P244=S$10,P$4-SUM(W$14:W243),W244),""))</f>
        <v/>
      </c>
    </row>
    <row r="245" spans="3:24" ht="15" hidden="1" customHeight="1" outlineLevel="1" x14ac:dyDescent="0.45">
      <c r="C245" s="124"/>
      <c r="D245" s="105"/>
      <c r="E245" s="131"/>
      <c r="F245" s="71"/>
      <c r="G245" s="78" t="str">
        <f t="shared" si="43"/>
        <v/>
      </c>
      <c r="H245" s="3">
        <f t="shared" si="44"/>
        <v>0</v>
      </c>
      <c r="I245" s="20" t="str">
        <f t="shared" si="45"/>
        <v/>
      </c>
      <c r="J245" s="94" t="str">
        <f t="shared" si="42"/>
        <v/>
      </c>
      <c r="K245" s="20" t="str">
        <f t="shared" si="46"/>
        <v/>
      </c>
      <c r="L245" s="94" t="str">
        <f t="shared" si="47"/>
        <v/>
      </c>
      <c r="M245" s="84" t="str">
        <f t="shared" si="48"/>
        <v/>
      </c>
      <c r="O245" s="36" t="str">
        <f t="shared" si="49"/>
        <v/>
      </c>
      <c r="P245" s="27" t="str">
        <f t="shared" si="50"/>
        <v/>
      </c>
      <c r="Q245" s="30" t="str">
        <f t="shared" si="51"/>
        <v/>
      </c>
      <c r="R245" s="19"/>
      <c r="S245" s="19" t="str">
        <f t="shared" si="52"/>
        <v/>
      </c>
      <c r="T245" s="19" t="str">
        <f t="shared" si="53"/>
        <v/>
      </c>
      <c r="U245" s="57" t="str">
        <f t="shared" si="54"/>
        <v/>
      </c>
      <c r="V245" s="57" t="str">
        <f t="shared" si="55"/>
        <v/>
      </c>
      <c r="W245" s="63" t="str">
        <f>IF(U245="","",IF(T246="",P$4-SUM(W$14:W244),IF((YEAR(O245)*1000+MONTH(O245))&gt;=P$9,IF((YEAR(O245)*1000+MONTH(O245))=P$9,ROUND(U245,0),ROUND(T245,0)),"")))</f>
        <v/>
      </c>
      <c r="X245" s="59" t="str">
        <f>IF(S$10="","",IF(P245&lt;=S$10,IF(P245=S$10,P$4-SUM(W$14:W244),W245),""))</f>
        <v/>
      </c>
    </row>
    <row r="246" spans="3:24" ht="15" hidden="1" customHeight="1" outlineLevel="1" x14ac:dyDescent="0.45">
      <c r="C246" s="124"/>
      <c r="D246" s="105"/>
      <c r="E246" s="131"/>
      <c r="F246" s="71"/>
      <c r="G246" s="78" t="str">
        <f t="shared" si="43"/>
        <v/>
      </c>
      <c r="H246" s="3">
        <f t="shared" si="44"/>
        <v>0</v>
      </c>
      <c r="I246" s="20" t="str">
        <f t="shared" si="45"/>
        <v/>
      </c>
      <c r="J246" s="94" t="str">
        <f t="shared" si="42"/>
        <v/>
      </c>
      <c r="K246" s="20" t="str">
        <f t="shared" si="46"/>
        <v/>
      </c>
      <c r="L246" s="94" t="str">
        <f t="shared" si="47"/>
        <v/>
      </c>
      <c r="M246" s="84" t="str">
        <f t="shared" si="48"/>
        <v/>
      </c>
      <c r="O246" s="36" t="str">
        <f t="shared" si="49"/>
        <v/>
      </c>
      <c r="P246" s="27" t="str">
        <f t="shared" si="50"/>
        <v/>
      </c>
      <c r="Q246" s="30" t="str">
        <f t="shared" si="51"/>
        <v/>
      </c>
      <c r="R246" s="19"/>
      <c r="S246" s="19" t="str">
        <f t="shared" si="52"/>
        <v/>
      </c>
      <c r="T246" s="19" t="str">
        <f t="shared" si="53"/>
        <v/>
      </c>
      <c r="U246" s="57" t="str">
        <f t="shared" si="54"/>
        <v/>
      </c>
      <c r="V246" s="57" t="str">
        <f t="shared" si="55"/>
        <v/>
      </c>
      <c r="W246" s="63" t="str">
        <f>IF(U246="","",IF(T247="",P$4-SUM(W$14:W245),IF((YEAR(O246)*1000+MONTH(O246))&gt;=P$9,IF((YEAR(O246)*1000+MONTH(O246))=P$9,ROUND(U246,0),ROUND(T246,0)),"")))</f>
        <v/>
      </c>
      <c r="X246" s="59" t="str">
        <f>IF(S$10="","",IF(P246&lt;=S$10,IF(P246=S$10,P$4-SUM(W$14:W245),W246),""))</f>
        <v/>
      </c>
    </row>
    <row r="247" spans="3:24" ht="15" hidden="1" customHeight="1" outlineLevel="1" x14ac:dyDescent="0.45">
      <c r="C247" s="124"/>
      <c r="D247" s="105"/>
      <c r="E247" s="131"/>
      <c r="F247" s="71"/>
      <c r="G247" s="78" t="str">
        <f t="shared" si="43"/>
        <v/>
      </c>
      <c r="H247" s="3">
        <f t="shared" si="44"/>
        <v>0</v>
      </c>
      <c r="I247" s="20" t="str">
        <f t="shared" si="45"/>
        <v/>
      </c>
      <c r="J247" s="94" t="str">
        <f t="shared" si="42"/>
        <v/>
      </c>
      <c r="K247" s="20" t="str">
        <f t="shared" si="46"/>
        <v/>
      </c>
      <c r="L247" s="94" t="str">
        <f t="shared" si="47"/>
        <v/>
      </c>
      <c r="M247" s="84" t="str">
        <f t="shared" si="48"/>
        <v/>
      </c>
      <c r="O247" s="36" t="str">
        <f t="shared" si="49"/>
        <v/>
      </c>
      <c r="P247" s="27" t="str">
        <f t="shared" si="50"/>
        <v/>
      </c>
      <c r="Q247" s="30" t="str">
        <f t="shared" si="51"/>
        <v/>
      </c>
      <c r="R247" s="19"/>
      <c r="S247" s="19" t="str">
        <f t="shared" si="52"/>
        <v/>
      </c>
      <c r="T247" s="19" t="str">
        <f t="shared" si="53"/>
        <v/>
      </c>
      <c r="U247" s="57" t="str">
        <f t="shared" si="54"/>
        <v/>
      </c>
      <c r="V247" s="57" t="str">
        <f t="shared" si="55"/>
        <v/>
      </c>
      <c r="W247" s="63" t="str">
        <f>IF(U247="","",IF(T248="",P$4-SUM(W$14:W246),IF((YEAR(O247)*1000+MONTH(O247))&gt;=P$9,IF((YEAR(O247)*1000+MONTH(O247))=P$9,ROUND(U247,0),ROUND(T247,0)),"")))</f>
        <v/>
      </c>
      <c r="X247" s="59" t="str">
        <f>IF(S$10="","",IF(P247&lt;=S$10,IF(P247=S$10,P$4-SUM(W$14:W246),W247),""))</f>
        <v/>
      </c>
    </row>
    <row r="248" spans="3:24" ht="15" hidden="1" customHeight="1" outlineLevel="1" x14ac:dyDescent="0.45">
      <c r="C248" s="124"/>
      <c r="D248" s="105"/>
      <c r="E248" s="131"/>
      <c r="F248" s="71"/>
      <c r="G248" s="78" t="str">
        <f t="shared" si="43"/>
        <v/>
      </c>
      <c r="H248" s="3">
        <f t="shared" si="44"/>
        <v>0</v>
      </c>
      <c r="I248" s="20" t="str">
        <f t="shared" si="45"/>
        <v/>
      </c>
      <c r="J248" s="94" t="str">
        <f t="shared" si="42"/>
        <v/>
      </c>
      <c r="K248" s="20" t="str">
        <f t="shared" si="46"/>
        <v/>
      </c>
      <c r="L248" s="94" t="str">
        <f t="shared" si="47"/>
        <v/>
      </c>
      <c r="M248" s="84" t="str">
        <f t="shared" si="48"/>
        <v/>
      </c>
      <c r="O248" s="36" t="str">
        <f t="shared" si="49"/>
        <v/>
      </c>
      <c r="P248" s="27" t="str">
        <f t="shared" si="50"/>
        <v/>
      </c>
      <c r="Q248" s="30" t="str">
        <f t="shared" si="51"/>
        <v/>
      </c>
      <c r="R248" s="19"/>
      <c r="S248" s="19" t="str">
        <f t="shared" si="52"/>
        <v/>
      </c>
      <c r="T248" s="19" t="str">
        <f t="shared" si="53"/>
        <v/>
      </c>
      <c r="U248" s="57" t="str">
        <f t="shared" si="54"/>
        <v/>
      </c>
      <c r="V248" s="57" t="str">
        <f t="shared" si="55"/>
        <v/>
      </c>
      <c r="W248" s="63" t="str">
        <f>IF(U248="","",IF(T249="",P$4-SUM(W$14:W247),IF((YEAR(O248)*1000+MONTH(O248))&gt;=P$9,IF((YEAR(O248)*1000+MONTH(O248))=P$9,ROUND(U248,0),ROUND(T248,0)),"")))</f>
        <v/>
      </c>
      <c r="X248" s="59" t="str">
        <f>IF(S$10="","",IF(P248&lt;=S$10,IF(P248=S$10,P$4-SUM(W$14:W247),W248),""))</f>
        <v/>
      </c>
    </row>
    <row r="249" spans="3:24" ht="15" hidden="1" customHeight="1" outlineLevel="1" x14ac:dyDescent="0.45">
      <c r="C249" s="124"/>
      <c r="D249" s="105"/>
      <c r="E249" s="131"/>
      <c r="F249" s="71"/>
      <c r="G249" s="78" t="str">
        <f t="shared" si="43"/>
        <v/>
      </c>
      <c r="H249" s="3">
        <f t="shared" si="44"/>
        <v>0</v>
      </c>
      <c r="I249" s="20" t="str">
        <f t="shared" si="45"/>
        <v/>
      </c>
      <c r="J249" s="94" t="str">
        <f t="shared" si="42"/>
        <v/>
      </c>
      <c r="K249" s="20" t="str">
        <f t="shared" si="46"/>
        <v/>
      </c>
      <c r="L249" s="94" t="str">
        <f t="shared" si="47"/>
        <v/>
      </c>
      <c r="M249" s="84" t="str">
        <f t="shared" si="48"/>
        <v/>
      </c>
      <c r="O249" s="36" t="str">
        <f t="shared" si="49"/>
        <v/>
      </c>
      <c r="P249" s="27" t="str">
        <f t="shared" si="50"/>
        <v/>
      </c>
      <c r="Q249" s="30" t="str">
        <f t="shared" si="51"/>
        <v/>
      </c>
      <c r="R249" s="19"/>
      <c r="S249" s="19" t="str">
        <f t="shared" si="52"/>
        <v/>
      </c>
      <c r="T249" s="19" t="str">
        <f t="shared" si="53"/>
        <v/>
      </c>
      <c r="U249" s="57" t="str">
        <f t="shared" si="54"/>
        <v/>
      </c>
      <c r="V249" s="57" t="str">
        <f t="shared" si="55"/>
        <v/>
      </c>
      <c r="W249" s="63" t="str">
        <f>IF(U249="","",IF(T250="",P$4-SUM(W$14:W248),IF((YEAR(O249)*1000+MONTH(O249))&gt;=P$9,IF((YEAR(O249)*1000+MONTH(O249))=P$9,ROUND(U249,0),ROUND(T249,0)),"")))</f>
        <v/>
      </c>
      <c r="X249" s="59" t="str">
        <f>IF(S$10="","",IF(P249&lt;=S$10,IF(P249=S$10,P$4-SUM(W$14:W248),W249),""))</f>
        <v/>
      </c>
    </row>
    <row r="250" spans="3:24" ht="15" hidden="1" customHeight="1" outlineLevel="1" x14ac:dyDescent="0.45">
      <c r="C250" s="124"/>
      <c r="D250" s="105"/>
      <c r="E250" s="131"/>
      <c r="F250" s="71"/>
      <c r="G250" s="78" t="str">
        <f t="shared" si="43"/>
        <v/>
      </c>
      <c r="H250" s="3">
        <f t="shared" si="44"/>
        <v>0</v>
      </c>
      <c r="I250" s="20" t="str">
        <f t="shared" si="45"/>
        <v/>
      </c>
      <c r="J250" s="94" t="str">
        <f t="shared" si="42"/>
        <v/>
      </c>
      <c r="K250" s="20" t="str">
        <f t="shared" si="46"/>
        <v/>
      </c>
      <c r="L250" s="94" t="str">
        <f t="shared" si="47"/>
        <v/>
      </c>
      <c r="M250" s="84" t="str">
        <f t="shared" si="48"/>
        <v/>
      </c>
      <c r="O250" s="36" t="str">
        <f t="shared" si="49"/>
        <v/>
      </c>
      <c r="P250" s="27" t="str">
        <f t="shared" si="50"/>
        <v/>
      </c>
      <c r="Q250" s="30" t="str">
        <f t="shared" si="51"/>
        <v/>
      </c>
      <c r="R250" s="19"/>
      <c r="S250" s="19" t="str">
        <f t="shared" si="52"/>
        <v/>
      </c>
      <c r="T250" s="19" t="str">
        <f t="shared" si="53"/>
        <v/>
      </c>
      <c r="U250" s="57" t="str">
        <f t="shared" si="54"/>
        <v/>
      </c>
      <c r="V250" s="57" t="str">
        <f t="shared" si="55"/>
        <v/>
      </c>
      <c r="W250" s="63" t="str">
        <f>IF(U250="","",IF(T251="",P$4-SUM(W$14:W249),IF((YEAR(O250)*1000+MONTH(O250))&gt;=P$9,IF((YEAR(O250)*1000+MONTH(O250))=P$9,ROUND(U250,0),ROUND(T250,0)),"")))</f>
        <v/>
      </c>
      <c r="X250" s="59" t="str">
        <f>IF(S$10="","",IF(P250&lt;=S$10,IF(P250=S$10,P$4-SUM(W$14:W249),W250),""))</f>
        <v/>
      </c>
    </row>
    <row r="251" spans="3:24" ht="15" hidden="1" customHeight="1" outlineLevel="1" x14ac:dyDescent="0.45">
      <c r="C251" s="124"/>
      <c r="D251" s="105"/>
      <c r="E251" s="131"/>
      <c r="F251" s="71"/>
      <c r="G251" s="78" t="str">
        <f t="shared" si="43"/>
        <v/>
      </c>
      <c r="H251" s="3">
        <f t="shared" si="44"/>
        <v>0</v>
      </c>
      <c r="I251" s="20" t="str">
        <f t="shared" si="45"/>
        <v/>
      </c>
      <c r="J251" s="94" t="str">
        <f t="shared" si="42"/>
        <v/>
      </c>
      <c r="K251" s="20" t="str">
        <f t="shared" si="46"/>
        <v/>
      </c>
      <c r="L251" s="94" t="str">
        <f t="shared" si="47"/>
        <v/>
      </c>
      <c r="M251" s="84" t="str">
        <f t="shared" si="48"/>
        <v/>
      </c>
      <c r="O251" s="36" t="str">
        <f t="shared" si="49"/>
        <v/>
      </c>
      <c r="P251" s="27" t="str">
        <f t="shared" si="50"/>
        <v/>
      </c>
      <c r="Q251" s="30" t="str">
        <f t="shared" si="51"/>
        <v/>
      </c>
      <c r="R251" s="19"/>
      <c r="S251" s="19" t="str">
        <f t="shared" si="52"/>
        <v/>
      </c>
      <c r="T251" s="19" t="str">
        <f t="shared" si="53"/>
        <v/>
      </c>
      <c r="U251" s="57" t="str">
        <f t="shared" si="54"/>
        <v/>
      </c>
      <c r="V251" s="57" t="str">
        <f t="shared" si="55"/>
        <v/>
      </c>
      <c r="W251" s="63" t="str">
        <f>IF(U251="","",IF(T252="",P$4-SUM(W$14:W250),IF((YEAR(O251)*1000+MONTH(O251))&gt;=P$9,IF((YEAR(O251)*1000+MONTH(O251))=P$9,ROUND(U251,0),ROUND(T251,0)),"")))</f>
        <v/>
      </c>
      <c r="X251" s="59" t="str">
        <f>IF(S$10="","",IF(P251&lt;=S$10,IF(P251=S$10,P$4-SUM(W$14:W250),W251),""))</f>
        <v/>
      </c>
    </row>
    <row r="252" spans="3:24" ht="15" hidden="1" customHeight="1" outlineLevel="1" x14ac:dyDescent="0.45">
      <c r="C252" s="124"/>
      <c r="D252" s="105"/>
      <c r="E252" s="131"/>
      <c r="F252" s="71"/>
      <c r="G252" s="78" t="str">
        <f t="shared" si="43"/>
        <v/>
      </c>
      <c r="H252" s="3">
        <f t="shared" si="44"/>
        <v>0</v>
      </c>
      <c r="I252" s="20" t="str">
        <f t="shared" si="45"/>
        <v/>
      </c>
      <c r="J252" s="94" t="str">
        <f t="shared" si="42"/>
        <v/>
      </c>
      <c r="K252" s="20" t="str">
        <f t="shared" si="46"/>
        <v/>
      </c>
      <c r="L252" s="94" t="str">
        <f t="shared" si="47"/>
        <v/>
      </c>
      <c r="M252" s="84" t="str">
        <f t="shared" si="48"/>
        <v/>
      </c>
      <c r="O252" s="36" t="str">
        <f t="shared" si="49"/>
        <v/>
      </c>
      <c r="P252" s="27" t="str">
        <f t="shared" si="50"/>
        <v/>
      </c>
      <c r="Q252" s="30" t="str">
        <f t="shared" si="51"/>
        <v/>
      </c>
      <c r="R252" s="19"/>
      <c r="S252" s="19" t="str">
        <f t="shared" si="52"/>
        <v/>
      </c>
      <c r="T252" s="19" t="str">
        <f t="shared" si="53"/>
        <v/>
      </c>
      <c r="U252" s="57" t="str">
        <f t="shared" si="54"/>
        <v/>
      </c>
      <c r="V252" s="57" t="str">
        <f t="shared" si="55"/>
        <v/>
      </c>
      <c r="W252" s="63" t="str">
        <f>IF(U252="","",IF(T253="",P$4-SUM(W$14:W251),IF((YEAR(O252)*1000+MONTH(O252))&gt;=P$9,IF((YEAR(O252)*1000+MONTH(O252))=P$9,ROUND(U252,0),ROUND(T252,0)),"")))</f>
        <v/>
      </c>
      <c r="X252" s="59" t="str">
        <f>IF(S$10="","",IF(P252&lt;=S$10,IF(P252=S$10,P$4-SUM(W$14:W251),W252),""))</f>
        <v/>
      </c>
    </row>
    <row r="253" spans="3:24" ht="15" hidden="1" customHeight="1" outlineLevel="1" x14ac:dyDescent="0.45">
      <c r="C253" s="124"/>
      <c r="D253" s="105"/>
      <c r="E253" s="131"/>
      <c r="F253" s="71"/>
      <c r="G253" s="78" t="str">
        <f t="shared" si="43"/>
        <v/>
      </c>
      <c r="H253" s="3">
        <f t="shared" si="44"/>
        <v>0</v>
      </c>
      <c r="I253" s="20" t="str">
        <f t="shared" si="45"/>
        <v/>
      </c>
      <c r="J253" s="94" t="str">
        <f t="shared" si="42"/>
        <v/>
      </c>
      <c r="K253" s="20" t="str">
        <f t="shared" si="46"/>
        <v/>
      </c>
      <c r="L253" s="94" t="str">
        <f t="shared" si="47"/>
        <v/>
      </c>
      <c r="M253" s="84" t="str">
        <f t="shared" si="48"/>
        <v/>
      </c>
      <c r="O253" s="36" t="str">
        <f t="shared" si="49"/>
        <v/>
      </c>
      <c r="P253" s="27" t="str">
        <f t="shared" si="50"/>
        <v/>
      </c>
      <c r="Q253" s="30" t="str">
        <f t="shared" si="51"/>
        <v/>
      </c>
      <c r="R253" s="19"/>
      <c r="S253" s="19" t="str">
        <f t="shared" si="52"/>
        <v/>
      </c>
      <c r="T253" s="19" t="str">
        <f t="shared" si="53"/>
        <v/>
      </c>
      <c r="U253" s="57" t="str">
        <f t="shared" si="54"/>
        <v/>
      </c>
      <c r="V253" s="57" t="str">
        <f t="shared" si="55"/>
        <v/>
      </c>
      <c r="W253" s="63" t="str">
        <f>IF(U253="","",IF(T254="",P$4-SUM(W$14:W252),IF((YEAR(O253)*1000+MONTH(O253))&gt;=P$9,IF((YEAR(O253)*1000+MONTH(O253))=P$9,ROUND(U253,0),ROUND(T253,0)),"")))</f>
        <v/>
      </c>
      <c r="X253" s="59" t="str">
        <f>IF(S$10="","",IF(P253&lt;=S$10,IF(P253=S$10,P$4-SUM(W$14:W252),W253),""))</f>
        <v/>
      </c>
    </row>
    <row r="254" spans="3:24" ht="15" hidden="1" customHeight="1" outlineLevel="1" x14ac:dyDescent="0.45">
      <c r="C254" s="124"/>
      <c r="D254" s="105"/>
      <c r="E254" s="131"/>
      <c r="F254" s="71"/>
      <c r="G254" s="78" t="str">
        <f t="shared" si="43"/>
        <v/>
      </c>
      <c r="H254" s="3">
        <f t="shared" si="44"/>
        <v>0</v>
      </c>
      <c r="I254" s="20" t="str">
        <f t="shared" si="45"/>
        <v/>
      </c>
      <c r="J254" s="94" t="str">
        <f t="shared" si="42"/>
        <v/>
      </c>
      <c r="K254" s="20" t="str">
        <f t="shared" si="46"/>
        <v/>
      </c>
      <c r="L254" s="94" t="str">
        <f t="shared" si="47"/>
        <v/>
      </c>
      <c r="M254" s="84" t="str">
        <f t="shared" si="48"/>
        <v/>
      </c>
      <c r="O254" s="36" t="str">
        <f t="shared" si="49"/>
        <v/>
      </c>
      <c r="P254" s="27" t="str">
        <f t="shared" si="50"/>
        <v/>
      </c>
      <c r="Q254" s="30" t="str">
        <f t="shared" si="51"/>
        <v/>
      </c>
      <c r="R254" s="19"/>
      <c r="S254" s="19" t="str">
        <f t="shared" si="52"/>
        <v/>
      </c>
      <c r="T254" s="19" t="str">
        <f t="shared" si="53"/>
        <v/>
      </c>
      <c r="U254" s="57" t="str">
        <f t="shared" si="54"/>
        <v/>
      </c>
      <c r="V254" s="57" t="str">
        <f t="shared" si="55"/>
        <v/>
      </c>
      <c r="W254" s="63" t="str">
        <f>IF(U254="","",IF(T255="",P$4-SUM(W$14:W253),IF((YEAR(O254)*1000+MONTH(O254))&gt;=P$9,IF((YEAR(O254)*1000+MONTH(O254))=P$9,ROUND(U254,0),ROUND(T254,0)),"")))</f>
        <v/>
      </c>
      <c r="X254" s="59" t="str">
        <f>IF(S$10="","",IF(P254&lt;=S$10,IF(P254=S$10,P$4-SUM(W$14:W253),W254),""))</f>
        <v/>
      </c>
    </row>
    <row r="255" spans="3:24" ht="15" hidden="1" customHeight="1" outlineLevel="1" x14ac:dyDescent="0.45">
      <c r="C255" s="124"/>
      <c r="D255" s="105"/>
      <c r="E255" s="131"/>
      <c r="F255" s="71"/>
      <c r="G255" s="78" t="str">
        <f t="shared" si="43"/>
        <v/>
      </c>
      <c r="H255" s="3">
        <f t="shared" si="44"/>
        <v>0</v>
      </c>
      <c r="I255" s="20" t="str">
        <f t="shared" si="45"/>
        <v/>
      </c>
      <c r="J255" s="94" t="str">
        <f t="shared" si="42"/>
        <v/>
      </c>
      <c r="K255" s="20" t="str">
        <f t="shared" si="46"/>
        <v/>
      </c>
      <c r="L255" s="94" t="str">
        <f t="shared" si="47"/>
        <v/>
      </c>
      <c r="M255" s="84" t="str">
        <f t="shared" si="48"/>
        <v/>
      </c>
      <c r="O255" s="36" t="str">
        <f t="shared" si="49"/>
        <v/>
      </c>
      <c r="P255" s="27" t="str">
        <f t="shared" si="50"/>
        <v/>
      </c>
      <c r="Q255" s="30" t="str">
        <f t="shared" si="51"/>
        <v/>
      </c>
      <c r="R255" s="19"/>
      <c r="S255" s="19" t="str">
        <f t="shared" si="52"/>
        <v/>
      </c>
      <c r="T255" s="19" t="str">
        <f t="shared" si="53"/>
        <v/>
      </c>
      <c r="U255" s="57" t="str">
        <f t="shared" si="54"/>
        <v/>
      </c>
      <c r="V255" s="57" t="str">
        <f t="shared" si="55"/>
        <v/>
      </c>
      <c r="W255" s="63" t="str">
        <f>IF(U255="","",IF(T256="",P$4-SUM(W$14:W254),IF((YEAR(O255)*1000+MONTH(O255))&gt;=P$9,IF((YEAR(O255)*1000+MONTH(O255))=P$9,ROUND(U255,0),ROUND(T255,0)),"")))</f>
        <v/>
      </c>
      <c r="X255" s="59" t="str">
        <f>IF(S$10="","",IF(P255&lt;=S$10,IF(P255=S$10,P$4-SUM(W$14:W254),W255),""))</f>
        <v/>
      </c>
    </row>
    <row r="256" spans="3:24" ht="15" hidden="1" customHeight="1" outlineLevel="1" x14ac:dyDescent="0.45">
      <c r="C256" s="124"/>
      <c r="D256" s="105"/>
      <c r="E256" s="131"/>
      <c r="F256" s="71"/>
      <c r="G256" s="78" t="str">
        <f t="shared" si="43"/>
        <v/>
      </c>
      <c r="H256" s="3">
        <f t="shared" si="44"/>
        <v>0</v>
      </c>
      <c r="I256" s="20" t="str">
        <f t="shared" si="45"/>
        <v/>
      </c>
      <c r="J256" s="94" t="str">
        <f t="shared" si="42"/>
        <v/>
      </c>
      <c r="K256" s="20" t="str">
        <f t="shared" si="46"/>
        <v/>
      </c>
      <c r="L256" s="94" t="str">
        <f t="shared" si="47"/>
        <v/>
      </c>
      <c r="M256" s="84" t="str">
        <f t="shared" si="48"/>
        <v/>
      </c>
      <c r="O256" s="36" t="str">
        <f t="shared" si="49"/>
        <v/>
      </c>
      <c r="P256" s="27" t="str">
        <f t="shared" si="50"/>
        <v/>
      </c>
      <c r="Q256" s="30" t="str">
        <f t="shared" si="51"/>
        <v/>
      </c>
      <c r="R256" s="19"/>
      <c r="S256" s="19" t="str">
        <f t="shared" si="52"/>
        <v/>
      </c>
      <c r="T256" s="19" t="str">
        <f t="shared" si="53"/>
        <v/>
      </c>
      <c r="U256" s="57" t="str">
        <f t="shared" si="54"/>
        <v/>
      </c>
      <c r="V256" s="57" t="str">
        <f t="shared" si="55"/>
        <v/>
      </c>
      <c r="W256" s="63" t="str">
        <f>IF(U256="","",IF(T257="",P$4-SUM(W$14:W255),IF((YEAR(O256)*1000+MONTH(O256))&gt;=P$9,IF((YEAR(O256)*1000+MONTH(O256))=P$9,ROUND(U256,0),ROUND(T256,0)),"")))</f>
        <v/>
      </c>
      <c r="X256" s="59" t="str">
        <f>IF(S$10="","",IF(P256&lt;=S$10,IF(P256=S$10,P$4-SUM(W$14:W255),W256),""))</f>
        <v/>
      </c>
    </row>
    <row r="257" spans="3:24" ht="15" hidden="1" customHeight="1" outlineLevel="1" x14ac:dyDescent="0.45">
      <c r="C257" s="124"/>
      <c r="D257" s="105"/>
      <c r="E257" s="131"/>
      <c r="F257" s="71"/>
      <c r="G257" s="78" t="str">
        <f t="shared" si="43"/>
        <v/>
      </c>
      <c r="H257" s="3">
        <f t="shared" si="44"/>
        <v>0</v>
      </c>
      <c r="I257" s="20" t="str">
        <f t="shared" si="45"/>
        <v/>
      </c>
      <c r="J257" s="94" t="str">
        <f t="shared" si="42"/>
        <v/>
      </c>
      <c r="K257" s="20" t="str">
        <f t="shared" si="46"/>
        <v/>
      </c>
      <c r="L257" s="94" t="str">
        <f t="shared" si="47"/>
        <v/>
      </c>
      <c r="M257" s="84" t="str">
        <f t="shared" si="48"/>
        <v/>
      </c>
      <c r="O257" s="36" t="str">
        <f t="shared" si="49"/>
        <v/>
      </c>
      <c r="P257" s="27" t="str">
        <f t="shared" si="50"/>
        <v/>
      </c>
      <c r="Q257" s="30" t="str">
        <f t="shared" si="51"/>
        <v/>
      </c>
      <c r="R257" s="19"/>
      <c r="S257" s="19" t="str">
        <f t="shared" si="52"/>
        <v/>
      </c>
      <c r="T257" s="19" t="str">
        <f t="shared" si="53"/>
        <v/>
      </c>
      <c r="U257" s="57" t="str">
        <f t="shared" si="54"/>
        <v/>
      </c>
      <c r="V257" s="57" t="str">
        <f t="shared" si="55"/>
        <v/>
      </c>
      <c r="W257" s="63" t="str">
        <f>IF(U257="","",IF(T258="",P$4-SUM(W$14:W256),IF((YEAR(O257)*1000+MONTH(O257))&gt;=P$9,IF((YEAR(O257)*1000+MONTH(O257))=P$9,ROUND(U257,0),ROUND(T257,0)),"")))</f>
        <v/>
      </c>
      <c r="X257" s="59" t="str">
        <f>IF(S$10="","",IF(P257&lt;=S$10,IF(P257=S$10,P$4-SUM(W$14:W256),W257),""))</f>
        <v/>
      </c>
    </row>
    <row r="258" spans="3:24" ht="15" hidden="1" customHeight="1" outlineLevel="1" x14ac:dyDescent="0.45">
      <c r="C258" s="124"/>
      <c r="D258" s="105"/>
      <c r="E258" s="131"/>
      <c r="F258" s="71"/>
      <c r="G258" s="78" t="str">
        <f t="shared" si="43"/>
        <v/>
      </c>
      <c r="H258" s="3">
        <f t="shared" si="44"/>
        <v>0</v>
      </c>
      <c r="I258" s="20" t="str">
        <f t="shared" si="45"/>
        <v/>
      </c>
      <c r="J258" s="94" t="str">
        <f t="shared" si="42"/>
        <v/>
      </c>
      <c r="K258" s="20" t="str">
        <f t="shared" si="46"/>
        <v/>
      </c>
      <c r="L258" s="94" t="str">
        <f t="shared" si="47"/>
        <v/>
      </c>
      <c r="M258" s="84" t="str">
        <f t="shared" si="48"/>
        <v/>
      </c>
      <c r="O258" s="36" t="str">
        <f t="shared" si="49"/>
        <v/>
      </c>
      <c r="P258" s="27" t="str">
        <f t="shared" si="50"/>
        <v/>
      </c>
      <c r="Q258" s="30" t="str">
        <f t="shared" si="51"/>
        <v/>
      </c>
      <c r="R258" s="19"/>
      <c r="S258" s="19" t="str">
        <f t="shared" si="52"/>
        <v/>
      </c>
      <c r="T258" s="19" t="str">
        <f t="shared" si="53"/>
        <v/>
      </c>
      <c r="U258" s="57" t="str">
        <f t="shared" si="54"/>
        <v/>
      </c>
      <c r="V258" s="57" t="str">
        <f t="shared" si="55"/>
        <v/>
      </c>
      <c r="W258" s="63" t="str">
        <f>IF(U258="","",IF(T259="",P$4-SUM(W$14:W257),IF((YEAR(O258)*1000+MONTH(O258))&gt;=P$9,IF((YEAR(O258)*1000+MONTH(O258))=P$9,ROUND(U258,0),ROUND(T258,0)),"")))</f>
        <v/>
      </c>
      <c r="X258" s="59" t="str">
        <f>IF(S$10="","",IF(P258&lt;=S$10,IF(P258=S$10,P$4-SUM(W$14:W257),W258),""))</f>
        <v/>
      </c>
    </row>
    <row r="259" spans="3:24" ht="15" hidden="1" customHeight="1" outlineLevel="1" x14ac:dyDescent="0.45">
      <c r="C259" s="124"/>
      <c r="D259" s="105"/>
      <c r="E259" s="131"/>
      <c r="F259" s="71"/>
      <c r="G259" s="78" t="str">
        <f t="shared" si="43"/>
        <v/>
      </c>
      <c r="H259" s="3">
        <f t="shared" si="44"/>
        <v>0</v>
      </c>
      <c r="I259" s="20" t="str">
        <f t="shared" si="45"/>
        <v/>
      </c>
      <c r="J259" s="94" t="str">
        <f t="shared" si="42"/>
        <v/>
      </c>
      <c r="K259" s="20" t="str">
        <f t="shared" si="46"/>
        <v/>
      </c>
      <c r="L259" s="94" t="str">
        <f t="shared" si="47"/>
        <v/>
      </c>
      <c r="M259" s="84" t="str">
        <f t="shared" si="48"/>
        <v/>
      </c>
      <c r="O259" s="36" t="str">
        <f t="shared" si="49"/>
        <v/>
      </c>
      <c r="P259" s="27" t="str">
        <f t="shared" si="50"/>
        <v/>
      </c>
      <c r="Q259" s="30" t="str">
        <f t="shared" si="51"/>
        <v/>
      </c>
      <c r="R259" s="19"/>
      <c r="S259" s="19" t="str">
        <f t="shared" si="52"/>
        <v/>
      </c>
      <c r="T259" s="19" t="str">
        <f t="shared" si="53"/>
        <v/>
      </c>
      <c r="U259" s="57" t="str">
        <f t="shared" si="54"/>
        <v/>
      </c>
      <c r="V259" s="57" t="str">
        <f t="shared" si="55"/>
        <v/>
      </c>
      <c r="W259" s="63" t="str">
        <f>IF(U259="","",IF(T260="",P$4-SUM(W$14:W258),IF((YEAR(O259)*1000+MONTH(O259))&gt;=P$9,IF((YEAR(O259)*1000+MONTH(O259))=P$9,ROUND(U259,0),ROUND(T259,0)),"")))</f>
        <v/>
      </c>
      <c r="X259" s="59" t="str">
        <f>IF(S$10="","",IF(P259&lt;=S$10,IF(P259=S$10,P$4-SUM(W$14:W258),W259),""))</f>
        <v/>
      </c>
    </row>
    <row r="260" spans="3:24" ht="15" hidden="1" customHeight="1" outlineLevel="1" x14ac:dyDescent="0.45">
      <c r="C260" s="124"/>
      <c r="D260" s="105"/>
      <c r="E260" s="131"/>
      <c r="F260" s="71"/>
      <c r="G260" s="78" t="str">
        <f t="shared" si="43"/>
        <v/>
      </c>
      <c r="H260" s="3">
        <f t="shared" si="44"/>
        <v>0</v>
      </c>
      <c r="I260" s="20" t="str">
        <f t="shared" si="45"/>
        <v/>
      </c>
      <c r="J260" s="94" t="str">
        <f t="shared" si="42"/>
        <v/>
      </c>
      <c r="K260" s="20" t="str">
        <f t="shared" si="46"/>
        <v/>
      </c>
      <c r="L260" s="94" t="str">
        <f t="shared" si="47"/>
        <v/>
      </c>
      <c r="M260" s="84" t="str">
        <f t="shared" si="48"/>
        <v/>
      </c>
      <c r="O260" s="36" t="str">
        <f t="shared" si="49"/>
        <v/>
      </c>
      <c r="P260" s="27" t="str">
        <f t="shared" si="50"/>
        <v/>
      </c>
      <c r="Q260" s="30" t="str">
        <f t="shared" si="51"/>
        <v/>
      </c>
      <c r="R260" s="19"/>
      <c r="S260" s="19" t="str">
        <f t="shared" si="52"/>
        <v/>
      </c>
      <c r="T260" s="19" t="str">
        <f t="shared" si="53"/>
        <v/>
      </c>
      <c r="U260" s="57" t="str">
        <f t="shared" si="54"/>
        <v/>
      </c>
      <c r="V260" s="57" t="str">
        <f t="shared" si="55"/>
        <v/>
      </c>
      <c r="W260" s="63" t="str">
        <f>IF(U260="","",IF(T261="",P$4-SUM(W$14:W259),IF((YEAR(O260)*1000+MONTH(O260))&gt;=P$9,IF((YEAR(O260)*1000+MONTH(O260))=P$9,ROUND(U260,0),ROUND(T260,0)),"")))</f>
        <v/>
      </c>
      <c r="X260" s="59" t="str">
        <f>IF(S$10="","",IF(P260&lt;=S$10,IF(P260=S$10,P$4-SUM(W$14:W259),W260),""))</f>
        <v/>
      </c>
    </row>
    <row r="261" spans="3:24" ht="15" hidden="1" customHeight="1" outlineLevel="1" x14ac:dyDescent="0.45">
      <c r="C261" s="124"/>
      <c r="D261" s="105"/>
      <c r="E261" s="131"/>
      <c r="F261" s="71"/>
      <c r="G261" s="78" t="str">
        <f t="shared" si="43"/>
        <v/>
      </c>
      <c r="H261" s="3">
        <f t="shared" si="44"/>
        <v>0</v>
      </c>
      <c r="I261" s="20" t="str">
        <f t="shared" si="45"/>
        <v/>
      </c>
      <c r="J261" s="94" t="str">
        <f t="shared" si="42"/>
        <v/>
      </c>
      <c r="K261" s="20" t="str">
        <f t="shared" si="46"/>
        <v/>
      </c>
      <c r="L261" s="94" t="str">
        <f t="shared" si="47"/>
        <v/>
      </c>
      <c r="M261" s="84" t="str">
        <f t="shared" si="48"/>
        <v/>
      </c>
      <c r="O261" s="36" t="str">
        <f t="shared" si="49"/>
        <v/>
      </c>
      <c r="P261" s="27" t="str">
        <f t="shared" si="50"/>
        <v/>
      </c>
      <c r="Q261" s="30" t="str">
        <f t="shared" si="51"/>
        <v/>
      </c>
      <c r="R261" s="19"/>
      <c r="S261" s="19" t="str">
        <f t="shared" si="52"/>
        <v/>
      </c>
      <c r="T261" s="19" t="str">
        <f t="shared" si="53"/>
        <v/>
      </c>
      <c r="U261" s="57" t="str">
        <f t="shared" si="54"/>
        <v/>
      </c>
      <c r="V261" s="57" t="str">
        <f t="shared" si="55"/>
        <v/>
      </c>
      <c r="W261" s="63" t="str">
        <f>IF(U261="","",IF(T262="",P$4-SUM(W$14:W260),IF((YEAR(O261)*1000+MONTH(O261))&gt;=P$9,IF((YEAR(O261)*1000+MONTH(O261))=P$9,ROUND(U261,0),ROUND(T261,0)),"")))</f>
        <v/>
      </c>
      <c r="X261" s="59" t="str">
        <f>IF(S$10="","",IF(P261&lt;=S$10,IF(P261=S$10,P$4-SUM(W$14:W260),W261),""))</f>
        <v/>
      </c>
    </row>
    <row r="262" spans="3:24" ht="15" hidden="1" customHeight="1" outlineLevel="1" x14ac:dyDescent="0.45">
      <c r="C262" s="124"/>
      <c r="D262" s="105"/>
      <c r="E262" s="131"/>
      <c r="F262" s="71"/>
      <c r="G262" s="78" t="str">
        <f t="shared" si="43"/>
        <v/>
      </c>
      <c r="H262" s="3">
        <f t="shared" si="44"/>
        <v>0</v>
      </c>
      <c r="I262" s="20" t="str">
        <f t="shared" si="45"/>
        <v/>
      </c>
      <c r="J262" s="94" t="str">
        <f t="shared" si="42"/>
        <v/>
      </c>
      <c r="K262" s="20" t="str">
        <f t="shared" si="46"/>
        <v/>
      </c>
      <c r="L262" s="94" t="str">
        <f t="shared" si="47"/>
        <v/>
      </c>
      <c r="M262" s="84" t="str">
        <f t="shared" si="48"/>
        <v/>
      </c>
      <c r="O262" s="36" t="str">
        <f t="shared" si="49"/>
        <v/>
      </c>
      <c r="P262" s="27" t="str">
        <f t="shared" si="50"/>
        <v/>
      </c>
      <c r="Q262" s="30" t="str">
        <f t="shared" si="51"/>
        <v/>
      </c>
      <c r="R262" s="19"/>
      <c r="S262" s="19" t="str">
        <f t="shared" si="52"/>
        <v/>
      </c>
      <c r="T262" s="19" t="str">
        <f t="shared" si="53"/>
        <v/>
      </c>
      <c r="U262" s="57" t="str">
        <f t="shared" si="54"/>
        <v/>
      </c>
      <c r="V262" s="57" t="str">
        <f t="shared" si="55"/>
        <v/>
      </c>
      <c r="W262" s="63" t="str">
        <f>IF(U262="","",IF(T263="",P$4-SUM(W$14:W261),IF((YEAR(O262)*1000+MONTH(O262))&gt;=P$9,IF((YEAR(O262)*1000+MONTH(O262))=P$9,ROUND(U262,0),ROUND(T262,0)),"")))</f>
        <v/>
      </c>
      <c r="X262" s="59" t="str">
        <f>IF(S$10="","",IF(P262&lt;=S$10,IF(P262=S$10,P$4-SUM(W$14:W261),W262),""))</f>
        <v/>
      </c>
    </row>
    <row r="263" spans="3:24" ht="15" hidden="1" customHeight="1" outlineLevel="1" x14ac:dyDescent="0.45">
      <c r="C263" s="124"/>
      <c r="D263" s="105"/>
      <c r="E263" s="131"/>
      <c r="F263" s="71"/>
      <c r="G263" s="78" t="str">
        <f t="shared" si="43"/>
        <v/>
      </c>
      <c r="H263" s="3">
        <f t="shared" si="44"/>
        <v>0</v>
      </c>
      <c r="I263" s="20" t="str">
        <f t="shared" si="45"/>
        <v/>
      </c>
      <c r="J263" s="94" t="str">
        <f t="shared" si="42"/>
        <v/>
      </c>
      <c r="K263" s="20" t="str">
        <f t="shared" si="46"/>
        <v/>
      </c>
      <c r="L263" s="94" t="str">
        <f t="shared" si="47"/>
        <v/>
      </c>
      <c r="M263" s="84" t="str">
        <f t="shared" si="48"/>
        <v/>
      </c>
      <c r="O263" s="36" t="str">
        <f t="shared" si="49"/>
        <v/>
      </c>
      <c r="P263" s="27" t="str">
        <f t="shared" si="50"/>
        <v/>
      </c>
      <c r="Q263" s="30" t="str">
        <f t="shared" si="51"/>
        <v/>
      </c>
      <c r="R263" s="19"/>
      <c r="S263" s="19" t="str">
        <f t="shared" si="52"/>
        <v/>
      </c>
      <c r="T263" s="19" t="str">
        <f t="shared" si="53"/>
        <v/>
      </c>
      <c r="U263" s="57" t="str">
        <f t="shared" si="54"/>
        <v/>
      </c>
      <c r="V263" s="57" t="str">
        <f t="shared" si="55"/>
        <v/>
      </c>
      <c r="W263" s="63" t="str">
        <f>IF(U263="","",IF(T264="",P$4-SUM(W$14:W262),IF((YEAR(O263)*1000+MONTH(O263))&gt;=P$9,IF((YEAR(O263)*1000+MONTH(O263))=P$9,ROUND(U263,0),ROUND(T263,0)),"")))</f>
        <v/>
      </c>
      <c r="X263" s="59" t="str">
        <f>IF(S$10="","",IF(P263&lt;=S$10,IF(P263=S$10,P$4-SUM(W$14:W262),W263),""))</f>
        <v/>
      </c>
    </row>
    <row r="264" spans="3:24" ht="15" hidden="1" customHeight="1" outlineLevel="1" x14ac:dyDescent="0.45">
      <c r="C264" s="124"/>
      <c r="D264" s="105"/>
      <c r="E264" s="131"/>
      <c r="F264" s="71"/>
      <c r="G264" s="78" t="str">
        <f t="shared" si="43"/>
        <v/>
      </c>
      <c r="H264" s="3">
        <f t="shared" si="44"/>
        <v>0</v>
      </c>
      <c r="I264" s="20" t="str">
        <f t="shared" si="45"/>
        <v/>
      </c>
      <c r="J264" s="94" t="str">
        <f t="shared" si="42"/>
        <v/>
      </c>
      <c r="K264" s="20" t="str">
        <f t="shared" si="46"/>
        <v/>
      </c>
      <c r="L264" s="94" t="str">
        <f t="shared" si="47"/>
        <v/>
      </c>
      <c r="M264" s="84" t="str">
        <f t="shared" si="48"/>
        <v/>
      </c>
      <c r="O264" s="36" t="str">
        <f t="shared" si="49"/>
        <v/>
      </c>
      <c r="P264" s="27" t="str">
        <f t="shared" si="50"/>
        <v/>
      </c>
      <c r="Q264" s="30" t="str">
        <f t="shared" si="51"/>
        <v/>
      </c>
      <c r="R264" s="19"/>
      <c r="S264" s="19" t="str">
        <f t="shared" si="52"/>
        <v/>
      </c>
      <c r="T264" s="19" t="str">
        <f t="shared" si="53"/>
        <v/>
      </c>
      <c r="U264" s="57" t="str">
        <f t="shared" si="54"/>
        <v/>
      </c>
      <c r="V264" s="57" t="str">
        <f t="shared" si="55"/>
        <v/>
      </c>
      <c r="W264" s="63" t="str">
        <f>IF(U264="","",IF(T265="",P$4-SUM(W$14:W263),IF((YEAR(O264)*1000+MONTH(O264))&gt;=P$9,IF((YEAR(O264)*1000+MONTH(O264))=P$9,ROUND(U264,0),ROUND(T264,0)),"")))</f>
        <v/>
      </c>
      <c r="X264" s="59" t="str">
        <f>IF(S$10="","",IF(P264&lt;=S$10,IF(P264=S$10,P$4-SUM(W$14:W263),W264),""))</f>
        <v/>
      </c>
    </row>
    <row r="265" spans="3:24" ht="15" hidden="1" customHeight="1" outlineLevel="1" x14ac:dyDescent="0.45">
      <c r="C265" s="124"/>
      <c r="D265" s="105"/>
      <c r="E265" s="131"/>
      <c r="F265" s="71"/>
      <c r="G265" s="78" t="str">
        <f t="shared" si="43"/>
        <v/>
      </c>
      <c r="H265" s="3">
        <f t="shared" si="44"/>
        <v>0</v>
      </c>
      <c r="I265" s="20" t="str">
        <f t="shared" si="45"/>
        <v/>
      </c>
      <c r="J265" s="94" t="str">
        <f t="shared" si="42"/>
        <v/>
      </c>
      <c r="K265" s="20" t="str">
        <f t="shared" si="46"/>
        <v/>
      </c>
      <c r="L265" s="94" t="str">
        <f t="shared" si="47"/>
        <v/>
      </c>
      <c r="M265" s="84" t="str">
        <f t="shared" si="48"/>
        <v/>
      </c>
      <c r="O265" s="36" t="str">
        <f t="shared" si="49"/>
        <v/>
      </c>
      <c r="P265" s="27" t="str">
        <f t="shared" si="50"/>
        <v/>
      </c>
      <c r="Q265" s="30" t="str">
        <f t="shared" si="51"/>
        <v/>
      </c>
      <c r="R265" s="19"/>
      <c r="S265" s="19" t="str">
        <f t="shared" si="52"/>
        <v/>
      </c>
      <c r="T265" s="19" t="str">
        <f t="shared" si="53"/>
        <v/>
      </c>
      <c r="U265" s="57" t="str">
        <f t="shared" si="54"/>
        <v/>
      </c>
      <c r="V265" s="57" t="str">
        <f t="shared" si="55"/>
        <v/>
      </c>
      <c r="W265" s="63" t="str">
        <f>IF(U265="","",IF(T266="",P$4-SUM(W$14:W264),IF((YEAR(O265)*1000+MONTH(O265))&gt;=P$9,IF((YEAR(O265)*1000+MONTH(O265))=P$9,ROUND(U265,0),ROUND(T265,0)),"")))</f>
        <v/>
      </c>
      <c r="X265" s="59" t="str">
        <f>IF(S$10="","",IF(P265&lt;=S$10,IF(P265=S$10,P$4-SUM(W$14:W264),W265),""))</f>
        <v/>
      </c>
    </row>
    <row r="266" spans="3:24" ht="15" hidden="1" customHeight="1" outlineLevel="1" x14ac:dyDescent="0.45">
      <c r="C266" s="124"/>
      <c r="D266" s="105"/>
      <c r="E266" s="131"/>
      <c r="F266" s="71"/>
      <c r="G266" s="78" t="str">
        <f t="shared" si="43"/>
        <v/>
      </c>
      <c r="H266" s="3">
        <f t="shared" si="44"/>
        <v>0</v>
      </c>
      <c r="I266" s="20" t="str">
        <f t="shared" si="45"/>
        <v/>
      </c>
      <c r="J266" s="94" t="str">
        <f t="shared" si="42"/>
        <v/>
      </c>
      <c r="K266" s="20" t="str">
        <f t="shared" si="46"/>
        <v/>
      </c>
      <c r="L266" s="94" t="str">
        <f t="shared" si="47"/>
        <v/>
      </c>
      <c r="M266" s="84" t="str">
        <f t="shared" si="48"/>
        <v/>
      </c>
      <c r="O266" s="36" t="str">
        <f t="shared" si="49"/>
        <v/>
      </c>
      <c r="P266" s="27" t="str">
        <f t="shared" si="50"/>
        <v/>
      </c>
      <c r="Q266" s="30" t="str">
        <f t="shared" si="51"/>
        <v/>
      </c>
      <c r="R266" s="19"/>
      <c r="S266" s="19" t="str">
        <f t="shared" si="52"/>
        <v/>
      </c>
      <c r="T266" s="19" t="str">
        <f t="shared" si="53"/>
        <v/>
      </c>
      <c r="U266" s="57" t="str">
        <f t="shared" si="54"/>
        <v/>
      </c>
      <c r="V266" s="57" t="str">
        <f t="shared" si="55"/>
        <v/>
      </c>
      <c r="W266" s="63" t="str">
        <f>IF(U266="","",IF(T267="",P$4-SUM(W$14:W265),IF((YEAR(O266)*1000+MONTH(O266))&gt;=P$9,IF((YEAR(O266)*1000+MONTH(O266))=P$9,ROUND(U266,0),ROUND(T266,0)),"")))</f>
        <v/>
      </c>
      <c r="X266" s="59" t="str">
        <f>IF(S$10="","",IF(P266&lt;=S$10,IF(P266=S$10,P$4-SUM(W$14:W265),W266),""))</f>
        <v/>
      </c>
    </row>
    <row r="267" spans="3:24" ht="15" hidden="1" customHeight="1" outlineLevel="1" x14ac:dyDescent="0.45">
      <c r="C267" s="124"/>
      <c r="D267" s="105"/>
      <c r="E267" s="131"/>
      <c r="F267" s="71"/>
      <c r="G267" s="78" t="str">
        <f t="shared" si="43"/>
        <v/>
      </c>
      <c r="H267" s="3">
        <f t="shared" si="44"/>
        <v>0</v>
      </c>
      <c r="I267" s="20" t="str">
        <f t="shared" si="45"/>
        <v/>
      </c>
      <c r="J267" s="94" t="str">
        <f t="shared" si="42"/>
        <v/>
      </c>
      <c r="K267" s="20" t="str">
        <f t="shared" si="46"/>
        <v/>
      </c>
      <c r="L267" s="94" t="str">
        <f t="shared" si="47"/>
        <v/>
      </c>
      <c r="M267" s="84" t="str">
        <f t="shared" si="48"/>
        <v/>
      </c>
      <c r="O267" s="36" t="str">
        <f t="shared" si="49"/>
        <v/>
      </c>
      <c r="P267" s="27" t="str">
        <f t="shared" si="50"/>
        <v/>
      </c>
      <c r="Q267" s="30" t="str">
        <f t="shared" si="51"/>
        <v/>
      </c>
      <c r="R267" s="19"/>
      <c r="S267" s="19" t="str">
        <f t="shared" si="52"/>
        <v/>
      </c>
      <c r="T267" s="19" t="str">
        <f t="shared" si="53"/>
        <v/>
      </c>
      <c r="U267" s="57" t="str">
        <f t="shared" si="54"/>
        <v/>
      </c>
      <c r="V267" s="57" t="str">
        <f t="shared" si="55"/>
        <v/>
      </c>
      <c r="W267" s="63" t="str">
        <f>IF(U267="","",IF(T268="",P$4-SUM(W$14:W266),IF((YEAR(O267)*1000+MONTH(O267))&gt;=P$9,IF((YEAR(O267)*1000+MONTH(O267))=P$9,ROUND(U267,0),ROUND(T267,0)),"")))</f>
        <v/>
      </c>
      <c r="X267" s="59" t="str">
        <f>IF(S$10="","",IF(P267&lt;=S$10,IF(P267=S$10,P$4-SUM(W$14:W266),W267),""))</f>
        <v/>
      </c>
    </row>
    <row r="268" spans="3:24" ht="15" hidden="1" customHeight="1" outlineLevel="1" x14ac:dyDescent="0.45">
      <c r="C268" s="124"/>
      <c r="D268" s="105"/>
      <c r="E268" s="131"/>
      <c r="F268" s="71"/>
      <c r="G268" s="78" t="str">
        <f t="shared" si="43"/>
        <v/>
      </c>
      <c r="H268" s="3">
        <f t="shared" si="44"/>
        <v>0</v>
      </c>
      <c r="I268" s="20" t="str">
        <f t="shared" si="45"/>
        <v/>
      </c>
      <c r="J268" s="94" t="str">
        <f t="shared" si="42"/>
        <v/>
      </c>
      <c r="K268" s="20" t="str">
        <f t="shared" si="46"/>
        <v/>
      </c>
      <c r="L268" s="94" t="str">
        <f t="shared" si="47"/>
        <v/>
      </c>
      <c r="M268" s="84" t="str">
        <f t="shared" si="48"/>
        <v/>
      </c>
      <c r="O268" s="36" t="str">
        <f t="shared" si="49"/>
        <v/>
      </c>
      <c r="P268" s="27" t="str">
        <f t="shared" si="50"/>
        <v/>
      </c>
      <c r="Q268" s="30" t="str">
        <f t="shared" si="51"/>
        <v/>
      </c>
      <c r="R268" s="19"/>
      <c r="S268" s="19" t="str">
        <f t="shared" si="52"/>
        <v/>
      </c>
      <c r="T268" s="19" t="str">
        <f t="shared" si="53"/>
        <v/>
      </c>
      <c r="U268" s="57" t="str">
        <f t="shared" si="54"/>
        <v/>
      </c>
      <c r="V268" s="57" t="str">
        <f t="shared" si="55"/>
        <v/>
      </c>
      <c r="W268" s="63" t="str">
        <f>IF(U268="","",IF(T269="",P$4-SUM(W$14:W267),IF((YEAR(O268)*1000+MONTH(O268))&gt;=P$9,IF((YEAR(O268)*1000+MONTH(O268))=P$9,ROUND(U268,0),ROUND(T268,0)),"")))</f>
        <v/>
      </c>
      <c r="X268" s="59" t="str">
        <f>IF(S$10="","",IF(P268&lt;=S$10,IF(P268=S$10,P$4-SUM(W$14:W267),W268),""))</f>
        <v/>
      </c>
    </row>
    <row r="269" spans="3:24" ht="15" hidden="1" customHeight="1" outlineLevel="1" x14ac:dyDescent="0.45">
      <c r="C269" s="124"/>
      <c r="D269" s="105"/>
      <c r="E269" s="131"/>
      <c r="F269" s="71"/>
      <c r="G269" s="78" t="str">
        <f t="shared" si="43"/>
        <v/>
      </c>
      <c r="H269" s="3">
        <f t="shared" si="44"/>
        <v>0</v>
      </c>
      <c r="I269" s="20" t="str">
        <f t="shared" si="45"/>
        <v/>
      </c>
      <c r="J269" s="94" t="str">
        <f t="shared" si="42"/>
        <v/>
      </c>
      <c r="K269" s="20" t="str">
        <f t="shared" si="46"/>
        <v/>
      </c>
      <c r="L269" s="94" t="str">
        <f t="shared" si="47"/>
        <v/>
      </c>
      <c r="M269" s="84" t="str">
        <f t="shared" si="48"/>
        <v/>
      </c>
      <c r="O269" s="36" t="str">
        <f t="shared" si="49"/>
        <v/>
      </c>
      <c r="P269" s="27" t="str">
        <f t="shared" si="50"/>
        <v/>
      </c>
      <c r="Q269" s="30" t="str">
        <f t="shared" si="51"/>
        <v/>
      </c>
      <c r="R269" s="19"/>
      <c r="S269" s="19" t="str">
        <f t="shared" si="52"/>
        <v/>
      </c>
      <c r="T269" s="19" t="str">
        <f t="shared" si="53"/>
        <v/>
      </c>
      <c r="U269" s="57" t="str">
        <f t="shared" si="54"/>
        <v/>
      </c>
      <c r="V269" s="57" t="str">
        <f t="shared" si="55"/>
        <v/>
      </c>
      <c r="W269" s="63" t="str">
        <f>IF(U269="","",IF(T270="",P$4-SUM(W$14:W268),IF((YEAR(O269)*1000+MONTH(O269))&gt;=P$9,IF((YEAR(O269)*1000+MONTH(O269))=P$9,ROUND(U269,0),ROUND(T269,0)),"")))</f>
        <v/>
      </c>
      <c r="X269" s="59" t="str">
        <f>IF(S$10="","",IF(P269&lt;=S$10,IF(P269=S$10,P$4-SUM(W$14:W268),W269),""))</f>
        <v/>
      </c>
    </row>
    <row r="270" spans="3:24" ht="15" hidden="1" customHeight="1" outlineLevel="1" x14ac:dyDescent="0.45">
      <c r="C270" s="124"/>
      <c r="D270" s="105"/>
      <c r="E270" s="131"/>
      <c r="F270" s="71"/>
      <c r="G270" s="78" t="str">
        <f t="shared" si="43"/>
        <v/>
      </c>
      <c r="H270" s="3">
        <f t="shared" si="44"/>
        <v>0</v>
      </c>
      <c r="I270" s="20" t="str">
        <f t="shared" si="45"/>
        <v/>
      </c>
      <c r="J270" s="94" t="str">
        <f t="shared" si="42"/>
        <v/>
      </c>
      <c r="K270" s="20" t="str">
        <f t="shared" si="46"/>
        <v/>
      </c>
      <c r="L270" s="94" t="str">
        <f t="shared" si="47"/>
        <v/>
      </c>
      <c r="M270" s="84" t="str">
        <f t="shared" si="48"/>
        <v/>
      </c>
      <c r="O270" s="36" t="str">
        <f t="shared" si="49"/>
        <v/>
      </c>
      <c r="P270" s="27" t="str">
        <f t="shared" si="50"/>
        <v/>
      </c>
      <c r="Q270" s="30" t="str">
        <f t="shared" si="51"/>
        <v/>
      </c>
      <c r="R270" s="19"/>
      <c r="S270" s="19" t="str">
        <f t="shared" si="52"/>
        <v/>
      </c>
      <c r="T270" s="19" t="str">
        <f t="shared" si="53"/>
        <v/>
      </c>
      <c r="U270" s="57" t="str">
        <f t="shared" si="54"/>
        <v/>
      </c>
      <c r="V270" s="57" t="str">
        <f t="shared" si="55"/>
        <v/>
      </c>
      <c r="W270" s="63" t="str">
        <f>IF(U270="","",IF(T271="",P$4-SUM(W$14:W269),IF((YEAR(O270)*1000+MONTH(O270))&gt;=P$9,IF((YEAR(O270)*1000+MONTH(O270))=P$9,ROUND(U270,0),ROUND(T270,0)),"")))</f>
        <v/>
      </c>
      <c r="X270" s="59" t="str">
        <f>IF(S$10="","",IF(P270&lt;=S$10,IF(P270=S$10,P$4-SUM(W$14:W269),W270),""))</f>
        <v/>
      </c>
    </row>
    <row r="271" spans="3:24" ht="15" hidden="1" customHeight="1" outlineLevel="1" x14ac:dyDescent="0.45">
      <c r="C271" s="124"/>
      <c r="D271" s="105"/>
      <c r="E271" s="131"/>
      <c r="F271" s="71"/>
      <c r="G271" s="78" t="str">
        <f t="shared" si="43"/>
        <v/>
      </c>
      <c r="H271" s="3">
        <f t="shared" si="44"/>
        <v>0</v>
      </c>
      <c r="I271" s="20" t="str">
        <f t="shared" si="45"/>
        <v/>
      </c>
      <c r="J271" s="94" t="str">
        <f t="shared" si="42"/>
        <v/>
      </c>
      <c r="K271" s="20" t="str">
        <f t="shared" si="46"/>
        <v/>
      </c>
      <c r="L271" s="94" t="str">
        <f t="shared" si="47"/>
        <v/>
      </c>
      <c r="M271" s="84" t="str">
        <f t="shared" si="48"/>
        <v/>
      </c>
      <c r="O271" s="36" t="str">
        <f t="shared" si="49"/>
        <v/>
      </c>
      <c r="P271" s="27" t="str">
        <f t="shared" si="50"/>
        <v/>
      </c>
      <c r="Q271" s="30" t="str">
        <f t="shared" si="51"/>
        <v/>
      </c>
      <c r="R271" s="19"/>
      <c r="S271" s="19" t="str">
        <f t="shared" si="52"/>
        <v/>
      </c>
      <c r="T271" s="19" t="str">
        <f t="shared" si="53"/>
        <v/>
      </c>
      <c r="U271" s="57" t="str">
        <f t="shared" si="54"/>
        <v/>
      </c>
      <c r="V271" s="57" t="str">
        <f t="shared" si="55"/>
        <v/>
      </c>
      <c r="W271" s="63" t="str">
        <f>IF(U271="","",IF(T272="",P$4-SUM(W$14:W270),IF((YEAR(O271)*1000+MONTH(O271))&gt;=P$9,IF((YEAR(O271)*1000+MONTH(O271))=P$9,ROUND(U271,0),ROUND(T271,0)),"")))</f>
        <v/>
      </c>
      <c r="X271" s="59" t="str">
        <f>IF(S$10="","",IF(P271&lt;=S$10,IF(P271=S$10,P$4-SUM(W$14:W270),W271),""))</f>
        <v/>
      </c>
    </row>
    <row r="272" spans="3:24" ht="15" hidden="1" customHeight="1" outlineLevel="1" x14ac:dyDescent="0.45">
      <c r="C272" s="124"/>
      <c r="D272" s="105"/>
      <c r="E272" s="131"/>
      <c r="F272" s="71"/>
      <c r="G272" s="78" t="str">
        <f t="shared" si="43"/>
        <v/>
      </c>
      <c r="H272" s="3">
        <f t="shared" si="44"/>
        <v>0</v>
      </c>
      <c r="I272" s="20" t="str">
        <f t="shared" si="45"/>
        <v/>
      </c>
      <c r="J272" s="94" t="str">
        <f t="shared" ref="J272:J335" si="56">IF(F272="","",-F272)</f>
        <v/>
      </c>
      <c r="K272" s="20" t="str">
        <f t="shared" si="46"/>
        <v/>
      </c>
      <c r="L272" s="94" t="str">
        <f t="shared" si="47"/>
        <v/>
      </c>
      <c r="M272" s="84" t="str">
        <f t="shared" si="48"/>
        <v/>
      </c>
      <c r="O272" s="36" t="str">
        <f t="shared" si="49"/>
        <v/>
      </c>
      <c r="P272" s="27" t="str">
        <f t="shared" si="50"/>
        <v/>
      </c>
      <c r="Q272" s="30" t="str">
        <f t="shared" si="51"/>
        <v/>
      </c>
      <c r="R272" s="19"/>
      <c r="S272" s="19" t="str">
        <f t="shared" si="52"/>
        <v/>
      </c>
      <c r="T272" s="19" t="str">
        <f t="shared" si="53"/>
        <v/>
      </c>
      <c r="U272" s="57" t="str">
        <f t="shared" si="54"/>
        <v/>
      </c>
      <c r="V272" s="57" t="str">
        <f t="shared" si="55"/>
        <v/>
      </c>
      <c r="W272" s="63" t="str">
        <f>IF(U272="","",IF(T273="",P$4-SUM(W$14:W271),IF((YEAR(O272)*1000+MONTH(O272))&gt;=P$9,IF((YEAR(O272)*1000+MONTH(O272))=P$9,ROUND(U272,0),ROUND(T272,0)),"")))</f>
        <v/>
      </c>
      <c r="X272" s="59" t="str">
        <f>IF(S$10="","",IF(P272&lt;=S$10,IF(P272=S$10,P$4-SUM(W$14:W271),W272),""))</f>
        <v/>
      </c>
    </row>
    <row r="273" spans="3:24" ht="15" hidden="1" customHeight="1" outlineLevel="1" x14ac:dyDescent="0.45">
      <c r="C273" s="124"/>
      <c r="D273" s="105"/>
      <c r="E273" s="131"/>
      <c r="F273" s="71"/>
      <c r="G273" s="78" t="str">
        <f t="shared" ref="G273:G336" si="57">IF(D273&lt;0,-D273-F273,IF(F273="","",-F273))</f>
        <v/>
      </c>
      <c r="H273" s="3">
        <f t="shared" ref="H273:H336" si="58">IF(D273&gt;0,D273,0)</f>
        <v>0</v>
      </c>
      <c r="I273" s="20" t="str">
        <f t="shared" ref="I273:I336" si="59">IF(D273="","",-D273)</f>
        <v/>
      </c>
      <c r="J273" s="94" t="str">
        <f t="shared" si="56"/>
        <v/>
      </c>
      <c r="K273" s="20" t="str">
        <f t="shared" ref="K273:K336" si="60">IF(AND(I273&gt;0,I273&lt;&gt;""),-I273-J273,IF(J273="","",-J273))</f>
        <v/>
      </c>
      <c r="L273" s="94" t="str">
        <f t="shared" ref="L273:L336" si="61">IF(C273="","",+C273)</f>
        <v/>
      </c>
      <c r="M273" s="84" t="str">
        <f t="shared" ref="M273:M336" si="62">IF(L273="","",-L273)</f>
        <v/>
      </c>
      <c r="O273" s="36" t="str">
        <f t="shared" ref="O273:O336" si="63">IF(O272="","",IF(EOMONTH(O272,0)+1&gt;P$8,"",EOMONTH(O272,0)+1))</f>
        <v/>
      </c>
      <c r="P273" s="27" t="str">
        <f t="shared" ref="P273:P336" si="64">IF(O273="","",IF(O273&lt;=P$8,IF((YEAR(O273)*1000+MONTH(O273))&lt;P$9,P$9,(YEAR(O273)*1000+MONTH(O273))),""))</f>
        <v/>
      </c>
      <c r="Q273" s="30" t="str">
        <f t="shared" ref="Q273:Q336" si="65">IF(P273&lt;&gt;"",IF(EOMONTH(O273,0)&lt;&gt;EOMONTH(P$8,0),DAY(EOMONTH(O273,0)-DAY(O273)+1)/DAY(EOMONTH(O273,0)),IF(DAY(EOMONTH(P$7,0))-DAY(P$7)+1+DAY(P$8)=DAY(EOMONTH(P$7,0)),1-Q$15,DAY(P$8)/DAY(EOMONTH(P$8,0)))),"")</f>
        <v/>
      </c>
      <c r="R273" s="19"/>
      <c r="S273" s="19" t="str">
        <f t="shared" ref="S273:S336" si="66">IF(O273="","",IF(P273&lt;=S$10,IF(P273=S$10,R$15,-R273),""))</f>
        <v/>
      </c>
      <c r="T273" s="19" t="str">
        <f t="shared" ref="T273:T336" si="67">IF(P273="","",IF(ISERROR(S$11*Q273),0,(S$11)*Q273))</f>
        <v/>
      </c>
      <c r="U273" s="57" t="str">
        <f t="shared" ref="U273:U336" si="68">IF(Q273="","",IF(Q273&gt;0,T273+U272,-U272))</f>
        <v/>
      </c>
      <c r="V273" s="57" t="str">
        <f t="shared" ref="V273:V336" si="69">IF(S273="","",IF(P273&lt;S$10,T273+U272,-V272))</f>
        <v/>
      </c>
      <c r="W273" s="63" t="str">
        <f>IF(U273="","",IF(T274="",P$4-SUM(W$14:W272),IF((YEAR(O273)*1000+MONTH(O273))&gt;=P$9,IF((YEAR(O273)*1000+MONTH(O273))=P$9,ROUND(U273,0),ROUND(T273,0)),"")))</f>
        <v/>
      </c>
      <c r="X273" s="59" t="str">
        <f>IF(S$10="","",IF(P273&lt;=S$10,IF(P273=S$10,P$4-SUM(W$14:W272),W273),""))</f>
        <v/>
      </c>
    </row>
    <row r="274" spans="3:24" ht="15" hidden="1" customHeight="1" outlineLevel="1" x14ac:dyDescent="0.45">
      <c r="C274" s="124"/>
      <c r="D274" s="105"/>
      <c r="E274" s="131"/>
      <c r="F274" s="71"/>
      <c r="G274" s="78" t="str">
        <f t="shared" si="57"/>
        <v/>
      </c>
      <c r="H274" s="3">
        <f t="shared" si="58"/>
        <v>0</v>
      </c>
      <c r="I274" s="20" t="str">
        <f t="shared" si="59"/>
        <v/>
      </c>
      <c r="J274" s="94" t="str">
        <f t="shared" si="56"/>
        <v/>
      </c>
      <c r="K274" s="20" t="str">
        <f t="shared" si="60"/>
        <v/>
      </c>
      <c r="L274" s="94" t="str">
        <f t="shared" si="61"/>
        <v/>
      </c>
      <c r="M274" s="84" t="str">
        <f t="shared" si="62"/>
        <v/>
      </c>
      <c r="O274" s="36" t="str">
        <f t="shared" si="63"/>
        <v/>
      </c>
      <c r="P274" s="27" t="str">
        <f t="shared" si="64"/>
        <v/>
      </c>
      <c r="Q274" s="30" t="str">
        <f t="shared" si="65"/>
        <v/>
      </c>
      <c r="R274" s="19"/>
      <c r="S274" s="19" t="str">
        <f t="shared" si="66"/>
        <v/>
      </c>
      <c r="T274" s="19" t="str">
        <f t="shared" si="67"/>
        <v/>
      </c>
      <c r="U274" s="57" t="str">
        <f t="shared" si="68"/>
        <v/>
      </c>
      <c r="V274" s="57" t="str">
        <f t="shared" si="69"/>
        <v/>
      </c>
      <c r="W274" s="63" t="str">
        <f>IF(U274="","",IF(T275="",P$4-SUM(W$14:W273),IF((YEAR(O274)*1000+MONTH(O274))&gt;=P$9,IF((YEAR(O274)*1000+MONTH(O274))=P$9,ROUND(U274,0),ROUND(T274,0)),"")))</f>
        <v/>
      </c>
      <c r="X274" s="59" t="str">
        <f>IF(S$10="","",IF(P274&lt;=S$10,IF(P274=S$10,P$4-SUM(W$14:W273),W274),""))</f>
        <v/>
      </c>
    </row>
    <row r="275" spans="3:24" ht="15" hidden="1" customHeight="1" outlineLevel="1" x14ac:dyDescent="0.45">
      <c r="C275" s="124"/>
      <c r="D275" s="105"/>
      <c r="E275" s="131"/>
      <c r="F275" s="71"/>
      <c r="G275" s="78" t="str">
        <f t="shared" si="57"/>
        <v/>
      </c>
      <c r="H275" s="3">
        <f t="shared" si="58"/>
        <v>0</v>
      </c>
      <c r="I275" s="20" t="str">
        <f t="shared" si="59"/>
        <v/>
      </c>
      <c r="J275" s="94" t="str">
        <f t="shared" si="56"/>
        <v/>
      </c>
      <c r="K275" s="20" t="str">
        <f t="shared" si="60"/>
        <v/>
      </c>
      <c r="L275" s="94" t="str">
        <f t="shared" si="61"/>
        <v/>
      </c>
      <c r="M275" s="84" t="str">
        <f t="shared" si="62"/>
        <v/>
      </c>
      <c r="O275" s="36" t="str">
        <f t="shared" si="63"/>
        <v/>
      </c>
      <c r="P275" s="27" t="str">
        <f t="shared" si="64"/>
        <v/>
      </c>
      <c r="Q275" s="30" t="str">
        <f t="shared" si="65"/>
        <v/>
      </c>
      <c r="R275" s="19"/>
      <c r="S275" s="19" t="str">
        <f t="shared" si="66"/>
        <v/>
      </c>
      <c r="T275" s="19" t="str">
        <f t="shared" si="67"/>
        <v/>
      </c>
      <c r="U275" s="57" t="str">
        <f t="shared" si="68"/>
        <v/>
      </c>
      <c r="V275" s="57" t="str">
        <f t="shared" si="69"/>
        <v/>
      </c>
      <c r="W275" s="63" t="str">
        <f>IF(U275="","",IF(T276="",P$4-SUM(W$14:W274),IF((YEAR(O275)*1000+MONTH(O275))&gt;=P$9,IF((YEAR(O275)*1000+MONTH(O275))=P$9,ROUND(U275,0),ROUND(T275,0)),"")))</f>
        <v/>
      </c>
      <c r="X275" s="59" t="str">
        <f>IF(S$10="","",IF(P275&lt;=S$10,IF(P275=S$10,P$4-SUM(W$14:W274),W275),""))</f>
        <v/>
      </c>
    </row>
    <row r="276" spans="3:24" ht="15" hidden="1" customHeight="1" outlineLevel="1" x14ac:dyDescent="0.45">
      <c r="C276" s="124"/>
      <c r="D276" s="105"/>
      <c r="E276" s="131"/>
      <c r="F276" s="71"/>
      <c r="G276" s="78" t="str">
        <f t="shared" si="57"/>
        <v/>
      </c>
      <c r="H276" s="3">
        <f t="shared" si="58"/>
        <v>0</v>
      </c>
      <c r="I276" s="20" t="str">
        <f t="shared" si="59"/>
        <v/>
      </c>
      <c r="J276" s="94" t="str">
        <f t="shared" si="56"/>
        <v/>
      </c>
      <c r="K276" s="20" t="str">
        <f t="shared" si="60"/>
        <v/>
      </c>
      <c r="L276" s="94" t="str">
        <f t="shared" si="61"/>
        <v/>
      </c>
      <c r="M276" s="84" t="str">
        <f t="shared" si="62"/>
        <v/>
      </c>
      <c r="O276" s="36" t="str">
        <f t="shared" si="63"/>
        <v/>
      </c>
      <c r="P276" s="27" t="str">
        <f t="shared" si="64"/>
        <v/>
      </c>
      <c r="Q276" s="30" t="str">
        <f t="shared" si="65"/>
        <v/>
      </c>
      <c r="R276" s="19"/>
      <c r="S276" s="19" t="str">
        <f t="shared" si="66"/>
        <v/>
      </c>
      <c r="T276" s="19" t="str">
        <f t="shared" si="67"/>
        <v/>
      </c>
      <c r="U276" s="57" t="str">
        <f t="shared" si="68"/>
        <v/>
      </c>
      <c r="V276" s="57" t="str">
        <f t="shared" si="69"/>
        <v/>
      </c>
      <c r="W276" s="63" t="str">
        <f>IF(U276="","",IF(T277="",P$4-SUM(W$14:W275),IF((YEAR(O276)*1000+MONTH(O276))&gt;=P$9,IF((YEAR(O276)*1000+MONTH(O276))=P$9,ROUND(U276,0),ROUND(T276,0)),"")))</f>
        <v/>
      </c>
      <c r="X276" s="59" t="str">
        <f>IF(S$10="","",IF(P276&lt;=S$10,IF(P276=S$10,P$4-SUM(W$14:W275),W276),""))</f>
        <v/>
      </c>
    </row>
    <row r="277" spans="3:24" ht="15" hidden="1" customHeight="1" outlineLevel="1" x14ac:dyDescent="0.45">
      <c r="C277" s="124"/>
      <c r="D277" s="105"/>
      <c r="E277" s="131"/>
      <c r="F277" s="71"/>
      <c r="G277" s="78" t="str">
        <f t="shared" si="57"/>
        <v/>
      </c>
      <c r="H277" s="3">
        <f t="shared" si="58"/>
        <v>0</v>
      </c>
      <c r="I277" s="20" t="str">
        <f t="shared" si="59"/>
        <v/>
      </c>
      <c r="J277" s="94" t="str">
        <f t="shared" si="56"/>
        <v/>
      </c>
      <c r="K277" s="20" t="str">
        <f t="shared" si="60"/>
        <v/>
      </c>
      <c r="L277" s="94" t="str">
        <f t="shared" si="61"/>
        <v/>
      </c>
      <c r="M277" s="84" t="str">
        <f t="shared" si="62"/>
        <v/>
      </c>
      <c r="O277" s="36" t="str">
        <f t="shared" si="63"/>
        <v/>
      </c>
      <c r="P277" s="27" t="str">
        <f t="shared" si="64"/>
        <v/>
      </c>
      <c r="Q277" s="30" t="str">
        <f t="shared" si="65"/>
        <v/>
      </c>
      <c r="R277" s="19"/>
      <c r="S277" s="19" t="str">
        <f t="shared" si="66"/>
        <v/>
      </c>
      <c r="T277" s="19" t="str">
        <f t="shared" si="67"/>
        <v/>
      </c>
      <c r="U277" s="57" t="str">
        <f t="shared" si="68"/>
        <v/>
      </c>
      <c r="V277" s="57" t="str">
        <f t="shared" si="69"/>
        <v/>
      </c>
      <c r="W277" s="63" t="str">
        <f>IF(U277="","",IF(T278="",P$4-SUM(W$14:W276),IF((YEAR(O277)*1000+MONTH(O277))&gt;=P$9,IF((YEAR(O277)*1000+MONTH(O277))=P$9,ROUND(U277,0),ROUND(T277,0)),"")))</f>
        <v/>
      </c>
      <c r="X277" s="59" t="str">
        <f>IF(S$10="","",IF(P277&lt;=S$10,IF(P277=S$10,P$4-SUM(W$14:W276),W277),""))</f>
        <v/>
      </c>
    </row>
    <row r="278" spans="3:24" ht="15" hidden="1" customHeight="1" outlineLevel="1" x14ac:dyDescent="0.45">
      <c r="C278" s="124"/>
      <c r="D278" s="105"/>
      <c r="E278" s="131"/>
      <c r="F278" s="71"/>
      <c r="G278" s="78" t="str">
        <f t="shared" si="57"/>
        <v/>
      </c>
      <c r="H278" s="3">
        <f t="shared" si="58"/>
        <v>0</v>
      </c>
      <c r="I278" s="20" t="str">
        <f t="shared" si="59"/>
        <v/>
      </c>
      <c r="J278" s="94" t="str">
        <f t="shared" si="56"/>
        <v/>
      </c>
      <c r="K278" s="20" t="str">
        <f t="shared" si="60"/>
        <v/>
      </c>
      <c r="L278" s="94" t="str">
        <f t="shared" si="61"/>
        <v/>
      </c>
      <c r="M278" s="84" t="str">
        <f t="shared" si="62"/>
        <v/>
      </c>
      <c r="O278" s="36" t="str">
        <f t="shared" si="63"/>
        <v/>
      </c>
      <c r="P278" s="27" t="str">
        <f t="shared" si="64"/>
        <v/>
      </c>
      <c r="Q278" s="30" t="str">
        <f t="shared" si="65"/>
        <v/>
      </c>
      <c r="R278" s="19"/>
      <c r="S278" s="19" t="str">
        <f t="shared" si="66"/>
        <v/>
      </c>
      <c r="T278" s="19" t="str">
        <f t="shared" si="67"/>
        <v/>
      </c>
      <c r="U278" s="57" t="str">
        <f t="shared" si="68"/>
        <v/>
      </c>
      <c r="V278" s="57" t="str">
        <f t="shared" si="69"/>
        <v/>
      </c>
      <c r="W278" s="63" t="str">
        <f>IF(U278="","",IF(T279="",P$4-SUM(W$14:W277),IF((YEAR(O278)*1000+MONTH(O278))&gt;=P$9,IF((YEAR(O278)*1000+MONTH(O278))=P$9,ROUND(U278,0),ROUND(T278,0)),"")))</f>
        <v/>
      </c>
      <c r="X278" s="59" t="str">
        <f>IF(S$10="","",IF(P278&lt;=S$10,IF(P278=S$10,P$4-SUM(W$14:W277),W278),""))</f>
        <v/>
      </c>
    </row>
    <row r="279" spans="3:24" ht="15" hidden="1" customHeight="1" outlineLevel="1" x14ac:dyDescent="0.45">
      <c r="C279" s="124"/>
      <c r="D279" s="105"/>
      <c r="E279" s="131"/>
      <c r="F279" s="71"/>
      <c r="G279" s="78" t="str">
        <f t="shared" si="57"/>
        <v/>
      </c>
      <c r="H279" s="3">
        <f t="shared" si="58"/>
        <v>0</v>
      </c>
      <c r="I279" s="20" t="str">
        <f t="shared" si="59"/>
        <v/>
      </c>
      <c r="J279" s="94" t="str">
        <f t="shared" si="56"/>
        <v/>
      </c>
      <c r="K279" s="20" t="str">
        <f t="shared" si="60"/>
        <v/>
      </c>
      <c r="L279" s="94" t="str">
        <f t="shared" si="61"/>
        <v/>
      </c>
      <c r="M279" s="84" t="str">
        <f t="shared" si="62"/>
        <v/>
      </c>
      <c r="O279" s="36" t="str">
        <f t="shared" si="63"/>
        <v/>
      </c>
      <c r="P279" s="27" t="str">
        <f t="shared" si="64"/>
        <v/>
      </c>
      <c r="Q279" s="30" t="str">
        <f t="shared" si="65"/>
        <v/>
      </c>
      <c r="R279" s="19"/>
      <c r="S279" s="19" t="str">
        <f t="shared" si="66"/>
        <v/>
      </c>
      <c r="T279" s="19" t="str">
        <f t="shared" si="67"/>
        <v/>
      </c>
      <c r="U279" s="57" t="str">
        <f t="shared" si="68"/>
        <v/>
      </c>
      <c r="V279" s="57" t="str">
        <f t="shared" si="69"/>
        <v/>
      </c>
      <c r="W279" s="63" t="str">
        <f>IF(U279="","",IF(T280="",P$4-SUM(W$14:W278),IF((YEAR(O279)*1000+MONTH(O279))&gt;=P$9,IF((YEAR(O279)*1000+MONTH(O279))=P$9,ROUND(U279,0),ROUND(T279,0)),"")))</f>
        <v/>
      </c>
      <c r="X279" s="59" t="str">
        <f>IF(S$10="","",IF(P279&lt;=S$10,IF(P279=S$10,P$4-SUM(W$14:W278),W279),""))</f>
        <v/>
      </c>
    </row>
    <row r="280" spans="3:24" ht="15" hidden="1" customHeight="1" outlineLevel="1" x14ac:dyDescent="0.45">
      <c r="C280" s="124"/>
      <c r="D280" s="105"/>
      <c r="E280" s="131"/>
      <c r="F280" s="71"/>
      <c r="G280" s="78" t="str">
        <f t="shared" si="57"/>
        <v/>
      </c>
      <c r="H280" s="3">
        <f t="shared" si="58"/>
        <v>0</v>
      </c>
      <c r="I280" s="20" t="str">
        <f t="shared" si="59"/>
        <v/>
      </c>
      <c r="J280" s="94" t="str">
        <f t="shared" si="56"/>
        <v/>
      </c>
      <c r="K280" s="20" t="str">
        <f t="shared" si="60"/>
        <v/>
      </c>
      <c r="L280" s="94" t="str">
        <f t="shared" si="61"/>
        <v/>
      </c>
      <c r="M280" s="84" t="str">
        <f t="shared" si="62"/>
        <v/>
      </c>
      <c r="O280" s="36" t="str">
        <f t="shared" si="63"/>
        <v/>
      </c>
      <c r="P280" s="27" t="str">
        <f t="shared" si="64"/>
        <v/>
      </c>
      <c r="Q280" s="30" t="str">
        <f t="shared" si="65"/>
        <v/>
      </c>
      <c r="R280" s="19"/>
      <c r="S280" s="19" t="str">
        <f t="shared" si="66"/>
        <v/>
      </c>
      <c r="T280" s="19" t="str">
        <f t="shared" si="67"/>
        <v/>
      </c>
      <c r="U280" s="57" t="str">
        <f t="shared" si="68"/>
        <v/>
      </c>
      <c r="V280" s="57" t="str">
        <f t="shared" si="69"/>
        <v/>
      </c>
      <c r="W280" s="63" t="str">
        <f>IF(U280="","",IF(T281="",P$4-SUM(W$14:W279),IF((YEAR(O280)*1000+MONTH(O280))&gt;=P$9,IF((YEAR(O280)*1000+MONTH(O280))=P$9,ROUND(U280,0),ROUND(T280,0)),"")))</f>
        <v/>
      </c>
      <c r="X280" s="59" t="str">
        <f>IF(S$10="","",IF(P280&lt;=S$10,IF(P280=S$10,P$4-SUM(W$14:W279),W280),""))</f>
        <v/>
      </c>
    </row>
    <row r="281" spans="3:24" ht="15" hidden="1" customHeight="1" outlineLevel="1" x14ac:dyDescent="0.45">
      <c r="C281" s="124"/>
      <c r="D281" s="105"/>
      <c r="E281" s="131"/>
      <c r="F281" s="71"/>
      <c r="G281" s="78" t="str">
        <f t="shared" si="57"/>
        <v/>
      </c>
      <c r="H281" s="3">
        <f t="shared" si="58"/>
        <v>0</v>
      </c>
      <c r="I281" s="20" t="str">
        <f t="shared" si="59"/>
        <v/>
      </c>
      <c r="J281" s="94" t="str">
        <f t="shared" si="56"/>
        <v/>
      </c>
      <c r="K281" s="20" t="str">
        <f t="shared" si="60"/>
        <v/>
      </c>
      <c r="L281" s="94" t="str">
        <f t="shared" si="61"/>
        <v/>
      </c>
      <c r="M281" s="84" t="str">
        <f t="shared" si="62"/>
        <v/>
      </c>
      <c r="O281" s="36" t="str">
        <f t="shared" si="63"/>
        <v/>
      </c>
      <c r="P281" s="27" t="str">
        <f t="shared" si="64"/>
        <v/>
      </c>
      <c r="Q281" s="30" t="str">
        <f t="shared" si="65"/>
        <v/>
      </c>
      <c r="R281" s="19"/>
      <c r="S281" s="19" t="str">
        <f t="shared" si="66"/>
        <v/>
      </c>
      <c r="T281" s="19" t="str">
        <f t="shared" si="67"/>
        <v/>
      </c>
      <c r="U281" s="57" t="str">
        <f t="shared" si="68"/>
        <v/>
      </c>
      <c r="V281" s="57" t="str">
        <f t="shared" si="69"/>
        <v/>
      </c>
      <c r="W281" s="63" t="str">
        <f>IF(U281="","",IF(T282="",P$4-SUM(W$14:W280),IF((YEAR(O281)*1000+MONTH(O281))&gt;=P$9,IF((YEAR(O281)*1000+MONTH(O281))=P$9,ROUND(U281,0),ROUND(T281,0)),"")))</f>
        <v/>
      </c>
      <c r="X281" s="59" t="str">
        <f>IF(S$10="","",IF(P281&lt;=S$10,IF(P281=S$10,P$4-SUM(W$14:W280),W281),""))</f>
        <v/>
      </c>
    </row>
    <row r="282" spans="3:24" ht="15" hidden="1" customHeight="1" outlineLevel="1" x14ac:dyDescent="0.45">
      <c r="C282" s="124"/>
      <c r="D282" s="105"/>
      <c r="E282" s="131"/>
      <c r="F282" s="71"/>
      <c r="G282" s="78" t="str">
        <f t="shared" si="57"/>
        <v/>
      </c>
      <c r="H282" s="3">
        <f t="shared" si="58"/>
        <v>0</v>
      </c>
      <c r="I282" s="20" t="str">
        <f t="shared" si="59"/>
        <v/>
      </c>
      <c r="J282" s="94" t="str">
        <f t="shared" si="56"/>
        <v/>
      </c>
      <c r="K282" s="20" t="str">
        <f t="shared" si="60"/>
        <v/>
      </c>
      <c r="L282" s="94" t="str">
        <f t="shared" si="61"/>
        <v/>
      </c>
      <c r="M282" s="84" t="str">
        <f t="shared" si="62"/>
        <v/>
      </c>
      <c r="O282" s="36" t="str">
        <f t="shared" si="63"/>
        <v/>
      </c>
      <c r="P282" s="27" t="str">
        <f t="shared" si="64"/>
        <v/>
      </c>
      <c r="Q282" s="30" t="str">
        <f t="shared" si="65"/>
        <v/>
      </c>
      <c r="R282" s="19"/>
      <c r="S282" s="19" t="str">
        <f t="shared" si="66"/>
        <v/>
      </c>
      <c r="T282" s="19" t="str">
        <f t="shared" si="67"/>
        <v/>
      </c>
      <c r="U282" s="57" t="str">
        <f t="shared" si="68"/>
        <v/>
      </c>
      <c r="V282" s="57" t="str">
        <f t="shared" si="69"/>
        <v/>
      </c>
      <c r="W282" s="63" t="str">
        <f>IF(U282="","",IF(T283="",P$4-SUM(W$14:W281),IF((YEAR(O282)*1000+MONTH(O282))&gt;=P$9,IF((YEAR(O282)*1000+MONTH(O282))=P$9,ROUND(U282,0),ROUND(T282,0)),"")))</f>
        <v/>
      </c>
      <c r="X282" s="59" t="str">
        <f>IF(S$10="","",IF(P282&lt;=S$10,IF(P282=S$10,P$4-SUM(W$14:W281),W282),""))</f>
        <v/>
      </c>
    </row>
    <row r="283" spans="3:24" ht="15" hidden="1" customHeight="1" outlineLevel="1" x14ac:dyDescent="0.45">
      <c r="C283" s="124"/>
      <c r="D283" s="105"/>
      <c r="E283" s="131"/>
      <c r="F283" s="71"/>
      <c r="G283" s="78" t="str">
        <f t="shared" si="57"/>
        <v/>
      </c>
      <c r="H283" s="3">
        <f t="shared" si="58"/>
        <v>0</v>
      </c>
      <c r="I283" s="20" t="str">
        <f t="shared" si="59"/>
        <v/>
      </c>
      <c r="J283" s="94" t="str">
        <f t="shared" si="56"/>
        <v/>
      </c>
      <c r="K283" s="20" t="str">
        <f t="shared" si="60"/>
        <v/>
      </c>
      <c r="L283" s="94" t="str">
        <f t="shared" si="61"/>
        <v/>
      </c>
      <c r="M283" s="84" t="str">
        <f t="shared" si="62"/>
        <v/>
      </c>
      <c r="O283" s="36" t="str">
        <f t="shared" si="63"/>
        <v/>
      </c>
      <c r="P283" s="27" t="str">
        <f t="shared" si="64"/>
        <v/>
      </c>
      <c r="Q283" s="30" t="str">
        <f t="shared" si="65"/>
        <v/>
      </c>
      <c r="R283" s="19"/>
      <c r="S283" s="19" t="str">
        <f t="shared" si="66"/>
        <v/>
      </c>
      <c r="T283" s="19" t="str">
        <f t="shared" si="67"/>
        <v/>
      </c>
      <c r="U283" s="57" t="str">
        <f t="shared" si="68"/>
        <v/>
      </c>
      <c r="V283" s="57" t="str">
        <f t="shared" si="69"/>
        <v/>
      </c>
      <c r="W283" s="63" t="str">
        <f>IF(U283="","",IF(T284="",P$4-SUM(W$14:W282),IF((YEAR(O283)*1000+MONTH(O283))&gt;=P$9,IF((YEAR(O283)*1000+MONTH(O283))=P$9,ROUND(U283,0),ROUND(T283,0)),"")))</f>
        <v/>
      </c>
      <c r="X283" s="59" t="str">
        <f>IF(S$10="","",IF(P283&lt;=S$10,IF(P283=S$10,P$4-SUM(W$14:W282),W283),""))</f>
        <v/>
      </c>
    </row>
    <row r="284" spans="3:24" ht="15" hidden="1" customHeight="1" outlineLevel="1" x14ac:dyDescent="0.45">
      <c r="C284" s="124"/>
      <c r="D284" s="105"/>
      <c r="E284" s="131"/>
      <c r="F284" s="71"/>
      <c r="G284" s="78" t="str">
        <f t="shared" si="57"/>
        <v/>
      </c>
      <c r="H284" s="3">
        <f t="shared" si="58"/>
        <v>0</v>
      </c>
      <c r="I284" s="20" t="str">
        <f t="shared" si="59"/>
        <v/>
      </c>
      <c r="J284" s="94" t="str">
        <f t="shared" si="56"/>
        <v/>
      </c>
      <c r="K284" s="20" t="str">
        <f t="shared" si="60"/>
        <v/>
      </c>
      <c r="L284" s="94" t="str">
        <f t="shared" si="61"/>
        <v/>
      </c>
      <c r="M284" s="84" t="str">
        <f t="shared" si="62"/>
        <v/>
      </c>
      <c r="O284" s="36" t="str">
        <f t="shared" si="63"/>
        <v/>
      </c>
      <c r="P284" s="27" t="str">
        <f t="shared" si="64"/>
        <v/>
      </c>
      <c r="Q284" s="30" t="str">
        <f t="shared" si="65"/>
        <v/>
      </c>
      <c r="R284" s="19"/>
      <c r="S284" s="19" t="str">
        <f t="shared" si="66"/>
        <v/>
      </c>
      <c r="T284" s="19" t="str">
        <f t="shared" si="67"/>
        <v/>
      </c>
      <c r="U284" s="57" t="str">
        <f t="shared" si="68"/>
        <v/>
      </c>
      <c r="V284" s="57" t="str">
        <f t="shared" si="69"/>
        <v/>
      </c>
      <c r="W284" s="63" t="str">
        <f>IF(U284="","",IF(T285="",P$4-SUM(W$14:W283),IF((YEAR(O284)*1000+MONTH(O284))&gt;=P$9,IF((YEAR(O284)*1000+MONTH(O284))=P$9,ROUND(U284,0),ROUND(T284,0)),"")))</f>
        <v/>
      </c>
      <c r="X284" s="59" t="str">
        <f>IF(S$10="","",IF(P284&lt;=S$10,IF(P284=S$10,P$4-SUM(W$14:W283),W284),""))</f>
        <v/>
      </c>
    </row>
    <row r="285" spans="3:24" ht="15" hidden="1" customHeight="1" outlineLevel="1" x14ac:dyDescent="0.45">
      <c r="C285" s="124"/>
      <c r="D285" s="105"/>
      <c r="E285" s="131"/>
      <c r="F285" s="71"/>
      <c r="G285" s="78" t="str">
        <f t="shared" si="57"/>
        <v/>
      </c>
      <c r="H285" s="3">
        <f t="shared" si="58"/>
        <v>0</v>
      </c>
      <c r="I285" s="20" t="str">
        <f t="shared" si="59"/>
        <v/>
      </c>
      <c r="J285" s="94" t="str">
        <f t="shared" si="56"/>
        <v/>
      </c>
      <c r="K285" s="20" t="str">
        <f t="shared" si="60"/>
        <v/>
      </c>
      <c r="L285" s="94" t="str">
        <f t="shared" si="61"/>
        <v/>
      </c>
      <c r="M285" s="84" t="str">
        <f t="shared" si="62"/>
        <v/>
      </c>
      <c r="O285" s="36" t="str">
        <f t="shared" si="63"/>
        <v/>
      </c>
      <c r="P285" s="27" t="str">
        <f t="shared" si="64"/>
        <v/>
      </c>
      <c r="Q285" s="30" t="str">
        <f t="shared" si="65"/>
        <v/>
      </c>
      <c r="R285" s="19"/>
      <c r="S285" s="19" t="str">
        <f t="shared" si="66"/>
        <v/>
      </c>
      <c r="T285" s="19" t="str">
        <f t="shared" si="67"/>
        <v/>
      </c>
      <c r="U285" s="57" t="str">
        <f t="shared" si="68"/>
        <v/>
      </c>
      <c r="V285" s="57" t="str">
        <f t="shared" si="69"/>
        <v/>
      </c>
      <c r="W285" s="63" t="str">
        <f>IF(U285="","",IF(T286="",P$4-SUM(W$14:W284),IF((YEAR(O285)*1000+MONTH(O285))&gt;=P$9,IF((YEAR(O285)*1000+MONTH(O285))=P$9,ROUND(U285,0),ROUND(T285,0)),"")))</f>
        <v/>
      </c>
      <c r="X285" s="59" t="str">
        <f>IF(S$10="","",IF(P285&lt;=S$10,IF(P285=S$10,P$4-SUM(W$14:W284),W285),""))</f>
        <v/>
      </c>
    </row>
    <row r="286" spans="3:24" ht="15" hidden="1" customHeight="1" outlineLevel="1" x14ac:dyDescent="0.45">
      <c r="C286" s="124"/>
      <c r="D286" s="105"/>
      <c r="E286" s="131"/>
      <c r="F286" s="71"/>
      <c r="G286" s="78" t="str">
        <f t="shared" si="57"/>
        <v/>
      </c>
      <c r="H286" s="3">
        <f t="shared" si="58"/>
        <v>0</v>
      </c>
      <c r="I286" s="20" t="str">
        <f t="shared" si="59"/>
        <v/>
      </c>
      <c r="J286" s="94" t="str">
        <f t="shared" si="56"/>
        <v/>
      </c>
      <c r="K286" s="20" t="str">
        <f t="shared" si="60"/>
        <v/>
      </c>
      <c r="L286" s="94" t="str">
        <f t="shared" si="61"/>
        <v/>
      </c>
      <c r="M286" s="84" t="str">
        <f t="shared" si="62"/>
        <v/>
      </c>
      <c r="O286" s="36" t="str">
        <f t="shared" si="63"/>
        <v/>
      </c>
      <c r="P286" s="27" t="str">
        <f t="shared" si="64"/>
        <v/>
      </c>
      <c r="Q286" s="30" t="str">
        <f t="shared" si="65"/>
        <v/>
      </c>
      <c r="R286" s="19"/>
      <c r="S286" s="19" t="str">
        <f t="shared" si="66"/>
        <v/>
      </c>
      <c r="T286" s="19" t="str">
        <f t="shared" si="67"/>
        <v/>
      </c>
      <c r="U286" s="57" t="str">
        <f t="shared" si="68"/>
        <v/>
      </c>
      <c r="V286" s="57" t="str">
        <f t="shared" si="69"/>
        <v/>
      </c>
      <c r="W286" s="63" t="str">
        <f>IF(U286="","",IF(T287="",P$4-SUM(W$14:W285),IF((YEAR(O286)*1000+MONTH(O286))&gt;=P$9,IF((YEAR(O286)*1000+MONTH(O286))=P$9,ROUND(U286,0),ROUND(T286,0)),"")))</f>
        <v/>
      </c>
      <c r="X286" s="59" t="str">
        <f>IF(S$10="","",IF(P286&lt;=S$10,IF(P286=S$10,P$4-SUM(W$14:W285),W286),""))</f>
        <v/>
      </c>
    </row>
    <row r="287" spans="3:24" ht="15" hidden="1" customHeight="1" outlineLevel="1" x14ac:dyDescent="0.45">
      <c r="C287" s="124"/>
      <c r="D287" s="105"/>
      <c r="E287" s="131"/>
      <c r="F287" s="71"/>
      <c r="G287" s="78" t="str">
        <f t="shared" si="57"/>
        <v/>
      </c>
      <c r="H287" s="3">
        <f t="shared" si="58"/>
        <v>0</v>
      </c>
      <c r="I287" s="20" t="str">
        <f t="shared" si="59"/>
        <v/>
      </c>
      <c r="J287" s="94" t="str">
        <f t="shared" si="56"/>
        <v/>
      </c>
      <c r="K287" s="20" t="str">
        <f t="shared" si="60"/>
        <v/>
      </c>
      <c r="L287" s="94" t="str">
        <f t="shared" si="61"/>
        <v/>
      </c>
      <c r="M287" s="84" t="str">
        <f t="shared" si="62"/>
        <v/>
      </c>
      <c r="O287" s="36" t="str">
        <f t="shared" si="63"/>
        <v/>
      </c>
      <c r="P287" s="27" t="str">
        <f t="shared" si="64"/>
        <v/>
      </c>
      <c r="Q287" s="30" t="str">
        <f t="shared" si="65"/>
        <v/>
      </c>
      <c r="R287" s="19"/>
      <c r="S287" s="19" t="str">
        <f t="shared" si="66"/>
        <v/>
      </c>
      <c r="T287" s="19" t="str">
        <f t="shared" si="67"/>
        <v/>
      </c>
      <c r="U287" s="57" t="str">
        <f t="shared" si="68"/>
        <v/>
      </c>
      <c r="V287" s="57" t="str">
        <f t="shared" si="69"/>
        <v/>
      </c>
      <c r="W287" s="63" t="str">
        <f>IF(U287="","",IF(T288="",P$4-SUM(W$14:W286),IF((YEAR(O287)*1000+MONTH(O287))&gt;=P$9,IF((YEAR(O287)*1000+MONTH(O287))=P$9,ROUND(U287,0),ROUND(T287,0)),"")))</f>
        <v/>
      </c>
      <c r="X287" s="59" t="str">
        <f>IF(S$10="","",IF(P287&lt;=S$10,IF(P287=S$10,P$4-SUM(W$14:W286),W287),""))</f>
        <v/>
      </c>
    </row>
    <row r="288" spans="3:24" ht="15" hidden="1" customHeight="1" outlineLevel="1" x14ac:dyDescent="0.45">
      <c r="C288" s="124"/>
      <c r="D288" s="105"/>
      <c r="E288" s="131"/>
      <c r="F288" s="71"/>
      <c r="G288" s="78" t="str">
        <f t="shared" si="57"/>
        <v/>
      </c>
      <c r="H288" s="3">
        <f t="shared" si="58"/>
        <v>0</v>
      </c>
      <c r="I288" s="20" t="str">
        <f t="shared" si="59"/>
        <v/>
      </c>
      <c r="J288" s="94" t="str">
        <f t="shared" si="56"/>
        <v/>
      </c>
      <c r="K288" s="20" t="str">
        <f t="shared" si="60"/>
        <v/>
      </c>
      <c r="L288" s="94" t="str">
        <f t="shared" si="61"/>
        <v/>
      </c>
      <c r="M288" s="84" t="str">
        <f t="shared" si="62"/>
        <v/>
      </c>
      <c r="O288" s="36" t="str">
        <f t="shared" si="63"/>
        <v/>
      </c>
      <c r="P288" s="27" t="str">
        <f t="shared" si="64"/>
        <v/>
      </c>
      <c r="Q288" s="30" t="str">
        <f t="shared" si="65"/>
        <v/>
      </c>
      <c r="R288" s="19"/>
      <c r="S288" s="19" t="str">
        <f t="shared" si="66"/>
        <v/>
      </c>
      <c r="T288" s="19" t="str">
        <f t="shared" si="67"/>
        <v/>
      </c>
      <c r="U288" s="57" t="str">
        <f t="shared" si="68"/>
        <v/>
      </c>
      <c r="V288" s="57" t="str">
        <f t="shared" si="69"/>
        <v/>
      </c>
      <c r="W288" s="63" t="str">
        <f>IF(U288="","",IF(T289="",P$4-SUM(W$14:W287),IF((YEAR(O288)*1000+MONTH(O288))&gt;=P$9,IF((YEAR(O288)*1000+MONTH(O288))=P$9,ROUND(U288,0),ROUND(T288,0)),"")))</f>
        <v/>
      </c>
      <c r="X288" s="59" t="str">
        <f>IF(S$10="","",IF(P288&lt;=S$10,IF(P288=S$10,P$4-SUM(W$14:W287),W288),""))</f>
        <v/>
      </c>
    </row>
    <row r="289" spans="3:24" ht="15" hidden="1" customHeight="1" outlineLevel="1" x14ac:dyDescent="0.45">
      <c r="C289" s="124"/>
      <c r="D289" s="105"/>
      <c r="E289" s="131"/>
      <c r="F289" s="71"/>
      <c r="G289" s="78" t="str">
        <f t="shared" si="57"/>
        <v/>
      </c>
      <c r="H289" s="3">
        <f t="shared" si="58"/>
        <v>0</v>
      </c>
      <c r="I289" s="20" t="str">
        <f t="shared" si="59"/>
        <v/>
      </c>
      <c r="J289" s="94" t="str">
        <f t="shared" si="56"/>
        <v/>
      </c>
      <c r="K289" s="20" t="str">
        <f t="shared" si="60"/>
        <v/>
      </c>
      <c r="L289" s="94" t="str">
        <f t="shared" si="61"/>
        <v/>
      </c>
      <c r="M289" s="84" t="str">
        <f t="shared" si="62"/>
        <v/>
      </c>
      <c r="O289" s="36" t="str">
        <f t="shared" si="63"/>
        <v/>
      </c>
      <c r="P289" s="27" t="str">
        <f t="shared" si="64"/>
        <v/>
      </c>
      <c r="Q289" s="30" t="str">
        <f t="shared" si="65"/>
        <v/>
      </c>
      <c r="R289" s="19"/>
      <c r="S289" s="19" t="str">
        <f t="shared" si="66"/>
        <v/>
      </c>
      <c r="T289" s="19" t="str">
        <f t="shared" si="67"/>
        <v/>
      </c>
      <c r="U289" s="57" t="str">
        <f t="shared" si="68"/>
        <v/>
      </c>
      <c r="V289" s="57" t="str">
        <f t="shared" si="69"/>
        <v/>
      </c>
      <c r="W289" s="63" t="str">
        <f>IF(U289="","",IF(T290="",P$4-SUM(W$14:W288),IF((YEAR(O289)*1000+MONTH(O289))&gt;=P$9,IF((YEAR(O289)*1000+MONTH(O289))=P$9,ROUND(U289,0),ROUND(T289,0)),"")))</f>
        <v/>
      </c>
      <c r="X289" s="59" t="str">
        <f>IF(S$10="","",IF(P289&lt;=S$10,IF(P289=S$10,P$4-SUM(W$14:W288),W289),""))</f>
        <v/>
      </c>
    </row>
    <row r="290" spans="3:24" ht="15" hidden="1" customHeight="1" outlineLevel="1" x14ac:dyDescent="0.45">
      <c r="C290" s="124"/>
      <c r="D290" s="105"/>
      <c r="E290" s="131"/>
      <c r="F290" s="71"/>
      <c r="G290" s="78" t="str">
        <f t="shared" si="57"/>
        <v/>
      </c>
      <c r="H290" s="3">
        <f t="shared" si="58"/>
        <v>0</v>
      </c>
      <c r="I290" s="20" t="str">
        <f t="shared" si="59"/>
        <v/>
      </c>
      <c r="J290" s="94" t="str">
        <f t="shared" si="56"/>
        <v/>
      </c>
      <c r="K290" s="20" t="str">
        <f t="shared" si="60"/>
        <v/>
      </c>
      <c r="L290" s="94" t="str">
        <f t="shared" si="61"/>
        <v/>
      </c>
      <c r="M290" s="84" t="str">
        <f t="shared" si="62"/>
        <v/>
      </c>
      <c r="O290" s="36" t="str">
        <f t="shared" si="63"/>
        <v/>
      </c>
      <c r="P290" s="27" t="str">
        <f t="shared" si="64"/>
        <v/>
      </c>
      <c r="Q290" s="30" t="str">
        <f t="shared" si="65"/>
        <v/>
      </c>
      <c r="R290" s="19"/>
      <c r="S290" s="19" t="str">
        <f t="shared" si="66"/>
        <v/>
      </c>
      <c r="T290" s="19" t="str">
        <f t="shared" si="67"/>
        <v/>
      </c>
      <c r="U290" s="57" t="str">
        <f t="shared" si="68"/>
        <v/>
      </c>
      <c r="V290" s="57" t="str">
        <f t="shared" si="69"/>
        <v/>
      </c>
      <c r="W290" s="63" t="str">
        <f>IF(U290="","",IF(T291="",P$4-SUM(W$14:W289),IF((YEAR(O290)*1000+MONTH(O290))&gt;=P$9,IF((YEAR(O290)*1000+MONTH(O290))=P$9,ROUND(U290,0),ROUND(T290,0)),"")))</f>
        <v/>
      </c>
      <c r="X290" s="59" t="str">
        <f>IF(S$10="","",IF(P290&lt;=S$10,IF(P290=S$10,P$4-SUM(W$14:W289),W290),""))</f>
        <v/>
      </c>
    </row>
    <row r="291" spans="3:24" ht="15" hidden="1" customHeight="1" outlineLevel="1" x14ac:dyDescent="0.45">
      <c r="C291" s="124"/>
      <c r="D291" s="105"/>
      <c r="E291" s="131"/>
      <c r="F291" s="71"/>
      <c r="G291" s="78" t="str">
        <f t="shared" si="57"/>
        <v/>
      </c>
      <c r="H291" s="3">
        <f t="shared" si="58"/>
        <v>0</v>
      </c>
      <c r="I291" s="20" t="str">
        <f t="shared" si="59"/>
        <v/>
      </c>
      <c r="J291" s="94" t="str">
        <f t="shared" si="56"/>
        <v/>
      </c>
      <c r="K291" s="20" t="str">
        <f t="shared" si="60"/>
        <v/>
      </c>
      <c r="L291" s="94" t="str">
        <f t="shared" si="61"/>
        <v/>
      </c>
      <c r="M291" s="84" t="str">
        <f t="shared" si="62"/>
        <v/>
      </c>
      <c r="O291" s="36" t="str">
        <f t="shared" si="63"/>
        <v/>
      </c>
      <c r="P291" s="27" t="str">
        <f t="shared" si="64"/>
        <v/>
      </c>
      <c r="Q291" s="30" t="str">
        <f t="shared" si="65"/>
        <v/>
      </c>
      <c r="R291" s="19"/>
      <c r="S291" s="19" t="str">
        <f t="shared" si="66"/>
        <v/>
      </c>
      <c r="T291" s="19" t="str">
        <f t="shared" si="67"/>
        <v/>
      </c>
      <c r="U291" s="57" t="str">
        <f t="shared" si="68"/>
        <v/>
      </c>
      <c r="V291" s="57" t="str">
        <f t="shared" si="69"/>
        <v/>
      </c>
      <c r="W291" s="63" t="str">
        <f>IF(U291="","",IF(T292="",P$4-SUM(W$14:W290),IF((YEAR(O291)*1000+MONTH(O291))&gt;=P$9,IF((YEAR(O291)*1000+MONTH(O291))=P$9,ROUND(U291,0),ROUND(T291,0)),"")))</f>
        <v/>
      </c>
      <c r="X291" s="59" t="str">
        <f>IF(S$10="","",IF(P291&lt;=S$10,IF(P291=S$10,P$4-SUM(W$14:W290),W291),""))</f>
        <v/>
      </c>
    </row>
    <row r="292" spans="3:24" ht="15" hidden="1" customHeight="1" outlineLevel="1" x14ac:dyDescent="0.45">
      <c r="C292" s="124"/>
      <c r="D292" s="105"/>
      <c r="E292" s="131"/>
      <c r="F292" s="71"/>
      <c r="G292" s="78" t="str">
        <f t="shared" si="57"/>
        <v/>
      </c>
      <c r="H292" s="3">
        <f t="shared" si="58"/>
        <v>0</v>
      </c>
      <c r="I292" s="20" t="str">
        <f t="shared" si="59"/>
        <v/>
      </c>
      <c r="J292" s="94" t="str">
        <f t="shared" si="56"/>
        <v/>
      </c>
      <c r="K292" s="20" t="str">
        <f t="shared" si="60"/>
        <v/>
      </c>
      <c r="L292" s="94" t="str">
        <f t="shared" si="61"/>
        <v/>
      </c>
      <c r="M292" s="84" t="str">
        <f t="shared" si="62"/>
        <v/>
      </c>
      <c r="O292" s="36" t="str">
        <f t="shared" si="63"/>
        <v/>
      </c>
      <c r="P292" s="27" t="str">
        <f t="shared" si="64"/>
        <v/>
      </c>
      <c r="Q292" s="30" t="str">
        <f t="shared" si="65"/>
        <v/>
      </c>
      <c r="R292" s="19"/>
      <c r="S292" s="19" t="str">
        <f t="shared" si="66"/>
        <v/>
      </c>
      <c r="T292" s="19" t="str">
        <f t="shared" si="67"/>
        <v/>
      </c>
      <c r="U292" s="57" t="str">
        <f t="shared" si="68"/>
        <v/>
      </c>
      <c r="V292" s="57" t="str">
        <f t="shared" si="69"/>
        <v/>
      </c>
      <c r="W292" s="63" t="str">
        <f>IF(U292="","",IF(T293="",P$4-SUM(W$14:W291),IF((YEAR(O292)*1000+MONTH(O292))&gt;=P$9,IF((YEAR(O292)*1000+MONTH(O292))=P$9,ROUND(U292,0),ROUND(T292,0)),"")))</f>
        <v/>
      </c>
      <c r="X292" s="59" t="str">
        <f>IF(S$10="","",IF(P292&lt;=S$10,IF(P292=S$10,P$4-SUM(W$14:W291),W292),""))</f>
        <v/>
      </c>
    </row>
    <row r="293" spans="3:24" ht="15" hidden="1" customHeight="1" outlineLevel="1" x14ac:dyDescent="0.45">
      <c r="C293" s="124"/>
      <c r="D293" s="105"/>
      <c r="E293" s="131"/>
      <c r="F293" s="71"/>
      <c r="G293" s="78" t="str">
        <f t="shared" si="57"/>
        <v/>
      </c>
      <c r="H293" s="3">
        <f t="shared" si="58"/>
        <v>0</v>
      </c>
      <c r="I293" s="20" t="str">
        <f t="shared" si="59"/>
        <v/>
      </c>
      <c r="J293" s="94" t="str">
        <f t="shared" si="56"/>
        <v/>
      </c>
      <c r="K293" s="20" t="str">
        <f t="shared" si="60"/>
        <v/>
      </c>
      <c r="L293" s="94" t="str">
        <f t="shared" si="61"/>
        <v/>
      </c>
      <c r="M293" s="84" t="str">
        <f t="shared" si="62"/>
        <v/>
      </c>
      <c r="O293" s="36" t="str">
        <f t="shared" si="63"/>
        <v/>
      </c>
      <c r="P293" s="27" t="str">
        <f t="shared" si="64"/>
        <v/>
      </c>
      <c r="Q293" s="30" t="str">
        <f t="shared" si="65"/>
        <v/>
      </c>
      <c r="R293" s="19"/>
      <c r="S293" s="19" t="str">
        <f t="shared" si="66"/>
        <v/>
      </c>
      <c r="T293" s="19" t="str">
        <f t="shared" si="67"/>
        <v/>
      </c>
      <c r="U293" s="57" t="str">
        <f t="shared" si="68"/>
        <v/>
      </c>
      <c r="V293" s="57" t="str">
        <f t="shared" si="69"/>
        <v/>
      </c>
      <c r="W293" s="63" t="str">
        <f>IF(U293="","",IF(T294="",P$4-SUM(W$14:W292),IF((YEAR(O293)*1000+MONTH(O293))&gt;=P$9,IF((YEAR(O293)*1000+MONTH(O293))=P$9,ROUND(U293,0),ROUND(T293,0)),"")))</f>
        <v/>
      </c>
      <c r="X293" s="59" t="str">
        <f>IF(S$10="","",IF(P293&lt;=S$10,IF(P293=S$10,P$4-SUM(W$14:W292),W293),""))</f>
        <v/>
      </c>
    </row>
    <row r="294" spans="3:24" ht="15" hidden="1" customHeight="1" outlineLevel="1" x14ac:dyDescent="0.45">
      <c r="C294" s="124"/>
      <c r="D294" s="105"/>
      <c r="E294" s="131"/>
      <c r="F294" s="71"/>
      <c r="G294" s="78" t="str">
        <f t="shared" si="57"/>
        <v/>
      </c>
      <c r="H294" s="3">
        <f t="shared" si="58"/>
        <v>0</v>
      </c>
      <c r="I294" s="20" t="str">
        <f t="shared" si="59"/>
        <v/>
      </c>
      <c r="J294" s="94" t="str">
        <f t="shared" si="56"/>
        <v/>
      </c>
      <c r="K294" s="20" t="str">
        <f t="shared" si="60"/>
        <v/>
      </c>
      <c r="L294" s="94" t="str">
        <f t="shared" si="61"/>
        <v/>
      </c>
      <c r="M294" s="84" t="str">
        <f t="shared" si="62"/>
        <v/>
      </c>
      <c r="O294" s="36" t="str">
        <f t="shared" si="63"/>
        <v/>
      </c>
      <c r="P294" s="27" t="str">
        <f t="shared" si="64"/>
        <v/>
      </c>
      <c r="Q294" s="30" t="str">
        <f t="shared" si="65"/>
        <v/>
      </c>
      <c r="R294" s="19"/>
      <c r="S294" s="19" t="str">
        <f t="shared" si="66"/>
        <v/>
      </c>
      <c r="T294" s="19" t="str">
        <f t="shared" si="67"/>
        <v/>
      </c>
      <c r="U294" s="57" t="str">
        <f t="shared" si="68"/>
        <v/>
      </c>
      <c r="V294" s="57" t="str">
        <f t="shared" si="69"/>
        <v/>
      </c>
      <c r="W294" s="63" t="str">
        <f>IF(U294="","",IF(T295="",P$4-SUM(W$14:W293),IF((YEAR(O294)*1000+MONTH(O294))&gt;=P$9,IF((YEAR(O294)*1000+MONTH(O294))=P$9,ROUND(U294,0),ROUND(T294,0)),"")))</f>
        <v/>
      </c>
      <c r="X294" s="59" t="str">
        <f>IF(S$10="","",IF(P294&lt;=S$10,IF(P294=S$10,P$4-SUM(W$14:W293),W294),""))</f>
        <v/>
      </c>
    </row>
    <row r="295" spans="3:24" ht="15" hidden="1" customHeight="1" outlineLevel="1" x14ac:dyDescent="0.45">
      <c r="C295" s="124"/>
      <c r="D295" s="105"/>
      <c r="E295" s="131"/>
      <c r="F295" s="71"/>
      <c r="G295" s="78" t="str">
        <f t="shared" si="57"/>
        <v/>
      </c>
      <c r="H295" s="3">
        <f t="shared" si="58"/>
        <v>0</v>
      </c>
      <c r="I295" s="20" t="str">
        <f t="shared" si="59"/>
        <v/>
      </c>
      <c r="J295" s="94" t="str">
        <f t="shared" si="56"/>
        <v/>
      </c>
      <c r="K295" s="20" t="str">
        <f t="shared" si="60"/>
        <v/>
      </c>
      <c r="L295" s="94" t="str">
        <f t="shared" si="61"/>
        <v/>
      </c>
      <c r="M295" s="84" t="str">
        <f t="shared" si="62"/>
        <v/>
      </c>
      <c r="O295" s="36" t="str">
        <f t="shared" si="63"/>
        <v/>
      </c>
      <c r="P295" s="27" t="str">
        <f t="shared" si="64"/>
        <v/>
      </c>
      <c r="Q295" s="30" t="str">
        <f t="shared" si="65"/>
        <v/>
      </c>
      <c r="R295" s="19"/>
      <c r="S295" s="19" t="str">
        <f t="shared" si="66"/>
        <v/>
      </c>
      <c r="T295" s="19" t="str">
        <f t="shared" si="67"/>
        <v/>
      </c>
      <c r="U295" s="57" t="str">
        <f t="shared" si="68"/>
        <v/>
      </c>
      <c r="V295" s="57" t="str">
        <f t="shared" si="69"/>
        <v/>
      </c>
      <c r="W295" s="63" t="str">
        <f>IF(U295="","",IF(T296="",P$4-SUM(W$14:W294),IF((YEAR(O295)*1000+MONTH(O295))&gt;=P$9,IF((YEAR(O295)*1000+MONTH(O295))=P$9,ROUND(U295,0),ROUND(T295,0)),"")))</f>
        <v/>
      </c>
      <c r="X295" s="59" t="str">
        <f>IF(S$10="","",IF(P295&lt;=S$10,IF(P295=S$10,P$4-SUM(W$14:W294),W295),""))</f>
        <v/>
      </c>
    </row>
    <row r="296" spans="3:24" ht="15" hidden="1" customHeight="1" outlineLevel="1" x14ac:dyDescent="0.45">
      <c r="C296" s="124"/>
      <c r="D296" s="105"/>
      <c r="E296" s="131"/>
      <c r="F296" s="71"/>
      <c r="G296" s="78" t="str">
        <f t="shared" si="57"/>
        <v/>
      </c>
      <c r="H296" s="3">
        <f t="shared" si="58"/>
        <v>0</v>
      </c>
      <c r="I296" s="20" t="str">
        <f t="shared" si="59"/>
        <v/>
      </c>
      <c r="J296" s="94" t="str">
        <f t="shared" si="56"/>
        <v/>
      </c>
      <c r="K296" s="20" t="str">
        <f t="shared" si="60"/>
        <v/>
      </c>
      <c r="L296" s="94" t="str">
        <f t="shared" si="61"/>
        <v/>
      </c>
      <c r="M296" s="84" t="str">
        <f t="shared" si="62"/>
        <v/>
      </c>
      <c r="O296" s="36" t="str">
        <f t="shared" si="63"/>
        <v/>
      </c>
      <c r="P296" s="27" t="str">
        <f t="shared" si="64"/>
        <v/>
      </c>
      <c r="Q296" s="30" t="str">
        <f t="shared" si="65"/>
        <v/>
      </c>
      <c r="R296" s="19"/>
      <c r="S296" s="19" t="str">
        <f t="shared" si="66"/>
        <v/>
      </c>
      <c r="T296" s="19" t="str">
        <f t="shared" si="67"/>
        <v/>
      </c>
      <c r="U296" s="57" t="str">
        <f t="shared" si="68"/>
        <v/>
      </c>
      <c r="V296" s="57" t="str">
        <f t="shared" si="69"/>
        <v/>
      </c>
      <c r="W296" s="63" t="str">
        <f>IF(U296="","",IF(T297="",P$4-SUM(W$14:W295),IF((YEAR(O296)*1000+MONTH(O296))&gt;=P$9,IF((YEAR(O296)*1000+MONTH(O296))=P$9,ROUND(U296,0),ROUND(T296,0)),"")))</f>
        <v/>
      </c>
      <c r="X296" s="59" t="str">
        <f>IF(S$10="","",IF(P296&lt;=S$10,IF(P296=S$10,P$4-SUM(W$14:W295),W296),""))</f>
        <v/>
      </c>
    </row>
    <row r="297" spans="3:24" ht="15" hidden="1" customHeight="1" outlineLevel="1" x14ac:dyDescent="0.45">
      <c r="C297" s="124"/>
      <c r="D297" s="105"/>
      <c r="E297" s="131"/>
      <c r="F297" s="71"/>
      <c r="G297" s="78" t="str">
        <f t="shared" si="57"/>
        <v/>
      </c>
      <c r="H297" s="3">
        <f t="shared" si="58"/>
        <v>0</v>
      </c>
      <c r="I297" s="20" t="str">
        <f t="shared" si="59"/>
        <v/>
      </c>
      <c r="J297" s="94" t="str">
        <f t="shared" si="56"/>
        <v/>
      </c>
      <c r="K297" s="20" t="str">
        <f t="shared" si="60"/>
        <v/>
      </c>
      <c r="L297" s="94" t="str">
        <f t="shared" si="61"/>
        <v/>
      </c>
      <c r="M297" s="84" t="str">
        <f t="shared" si="62"/>
        <v/>
      </c>
      <c r="O297" s="36" t="str">
        <f t="shared" si="63"/>
        <v/>
      </c>
      <c r="P297" s="27" t="str">
        <f t="shared" si="64"/>
        <v/>
      </c>
      <c r="Q297" s="30" t="str">
        <f t="shared" si="65"/>
        <v/>
      </c>
      <c r="R297" s="19"/>
      <c r="S297" s="19" t="str">
        <f t="shared" si="66"/>
        <v/>
      </c>
      <c r="T297" s="19" t="str">
        <f t="shared" si="67"/>
        <v/>
      </c>
      <c r="U297" s="57" t="str">
        <f t="shared" si="68"/>
        <v/>
      </c>
      <c r="V297" s="57" t="str">
        <f t="shared" si="69"/>
        <v/>
      </c>
      <c r="W297" s="63" t="str">
        <f>IF(U297="","",IF(T298="",P$4-SUM(W$14:W296),IF((YEAR(O297)*1000+MONTH(O297))&gt;=P$9,IF((YEAR(O297)*1000+MONTH(O297))=P$9,ROUND(U297,0),ROUND(T297,0)),"")))</f>
        <v/>
      </c>
      <c r="X297" s="59" t="str">
        <f>IF(S$10="","",IF(P297&lt;=S$10,IF(P297=S$10,P$4-SUM(W$14:W296),W297),""))</f>
        <v/>
      </c>
    </row>
    <row r="298" spans="3:24" ht="15" hidden="1" customHeight="1" outlineLevel="1" x14ac:dyDescent="0.45">
      <c r="C298" s="124"/>
      <c r="D298" s="105"/>
      <c r="E298" s="131"/>
      <c r="F298" s="71"/>
      <c r="G298" s="78" t="str">
        <f t="shared" si="57"/>
        <v/>
      </c>
      <c r="H298" s="3">
        <f t="shared" si="58"/>
        <v>0</v>
      </c>
      <c r="I298" s="20" t="str">
        <f t="shared" si="59"/>
        <v/>
      </c>
      <c r="J298" s="94" t="str">
        <f t="shared" si="56"/>
        <v/>
      </c>
      <c r="K298" s="20" t="str">
        <f t="shared" si="60"/>
        <v/>
      </c>
      <c r="L298" s="94" t="str">
        <f t="shared" si="61"/>
        <v/>
      </c>
      <c r="M298" s="84" t="str">
        <f t="shared" si="62"/>
        <v/>
      </c>
      <c r="O298" s="36" t="str">
        <f t="shared" si="63"/>
        <v/>
      </c>
      <c r="P298" s="27" t="str">
        <f t="shared" si="64"/>
        <v/>
      </c>
      <c r="Q298" s="30" t="str">
        <f t="shared" si="65"/>
        <v/>
      </c>
      <c r="R298" s="19"/>
      <c r="S298" s="19" t="str">
        <f t="shared" si="66"/>
        <v/>
      </c>
      <c r="T298" s="19" t="str">
        <f t="shared" si="67"/>
        <v/>
      </c>
      <c r="U298" s="57" t="str">
        <f t="shared" si="68"/>
        <v/>
      </c>
      <c r="V298" s="57" t="str">
        <f t="shared" si="69"/>
        <v/>
      </c>
      <c r="W298" s="63" t="str">
        <f>IF(U298="","",IF(T299="",P$4-SUM(W$14:W297),IF((YEAR(O298)*1000+MONTH(O298))&gt;=P$9,IF((YEAR(O298)*1000+MONTH(O298))=P$9,ROUND(U298,0),ROUND(T298,0)),"")))</f>
        <v/>
      </c>
      <c r="X298" s="59" t="str">
        <f>IF(S$10="","",IF(P298&lt;=S$10,IF(P298=S$10,P$4-SUM(W$14:W297),W298),""))</f>
        <v/>
      </c>
    </row>
    <row r="299" spans="3:24" ht="15" hidden="1" customHeight="1" outlineLevel="1" x14ac:dyDescent="0.45">
      <c r="C299" s="124"/>
      <c r="D299" s="105"/>
      <c r="E299" s="131"/>
      <c r="F299" s="71"/>
      <c r="G299" s="78" t="str">
        <f t="shared" si="57"/>
        <v/>
      </c>
      <c r="H299" s="3">
        <f t="shared" si="58"/>
        <v>0</v>
      </c>
      <c r="I299" s="20" t="str">
        <f t="shared" si="59"/>
        <v/>
      </c>
      <c r="J299" s="94" t="str">
        <f t="shared" si="56"/>
        <v/>
      </c>
      <c r="K299" s="20" t="str">
        <f t="shared" si="60"/>
        <v/>
      </c>
      <c r="L299" s="94" t="str">
        <f t="shared" si="61"/>
        <v/>
      </c>
      <c r="M299" s="84" t="str">
        <f t="shared" si="62"/>
        <v/>
      </c>
      <c r="O299" s="36" t="str">
        <f t="shared" si="63"/>
        <v/>
      </c>
      <c r="P299" s="27" t="str">
        <f t="shared" si="64"/>
        <v/>
      </c>
      <c r="Q299" s="30" t="str">
        <f t="shared" si="65"/>
        <v/>
      </c>
      <c r="R299" s="19"/>
      <c r="S299" s="19" t="str">
        <f t="shared" si="66"/>
        <v/>
      </c>
      <c r="T299" s="19" t="str">
        <f t="shared" si="67"/>
        <v/>
      </c>
      <c r="U299" s="57" t="str">
        <f t="shared" si="68"/>
        <v/>
      </c>
      <c r="V299" s="57" t="str">
        <f t="shared" si="69"/>
        <v/>
      </c>
      <c r="W299" s="63" t="str">
        <f>IF(U299="","",IF(T300="",P$4-SUM(W$14:W298),IF((YEAR(O299)*1000+MONTH(O299))&gt;=P$9,IF((YEAR(O299)*1000+MONTH(O299))=P$9,ROUND(U299,0),ROUND(T299,0)),"")))</f>
        <v/>
      </c>
      <c r="X299" s="59" t="str">
        <f>IF(S$10="","",IF(P299&lt;=S$10,IF(P299=S$10,P$4-SUM(W$14:W298),W299),""))</f>
        <v/>
      </c>
    </row>
    <row r="300" spans="3:24" ht="15" hidden="1" customHeight="1" outlineLevel="1" x14ac:dyDescent="0.45">
      <c r="C300" s="124"/>
      <c r="D300" s="105"/>
      <c r="E300" s="131"/>
      <c r="F300" s="71"/>
      <c r="G300" s="78" t="str">
        <f t="shared" si="57"/>
        <v/>
      </c>
      <c r="H300" s="3">
        <f t="shared" si="58"/>
        <v>0</v>
      </c>
      <c r="I300" s="20" t="str">
        <f t="shared" si="59"/>
        <v/>
      </c>
      <c r="J300" s="94" t="str">
        <f t="shared" si="56"/>
        <v/>
      </c>
      <c r="K300" s="20" t="str">
        <f t="shared" si="60"/>
        <v/>
      </c>
      <c r="L300" s="94" t="str">
        <f t="shared" si="61"/>
        <v/>
      </c>
      <c r="M300" s="84" t="str">
        <f t="shared" si="62"/>
        <v/>
      </c>
      <c r="O300" s="36" t="str">
        <f t="shared" si="63"/>
        <v/>
      </c>
      <c r="P300" s="27" t="str">
        <f t="shared" si="64"/>
        <v/>
      </c>
      <c r="Q300" s="30" t="str">
        <f t="shared" si="65"/>
        <v/>
      </c>
      <c r="R300" s="19"/>
      <c r="S300" s="19" t="str">
        <f t="shared" si="66"/>
        <v/>
      </c>
      <c r="T300" s="19" t="str">
        <f t="shared" si="67"/>
        <v/>
      </c>
      <c r="U300" s="57" t="str">
        <f t="shared" si="68"/>
        <v/>
      </c>
      <c r="V300" s="57" t="str">
        <f t="shared" si="69"/>
        <v/>
      </c>
      <c r="W300" s="63" t="str">
        <f>IF(U300="","",IF(T301="",P$4-SUM(W$14:W299),IF((YEAR(O300)*1000+MONTH(O300))&gt;=P$9,IF((YEAR(O300)*1000+MONTH(O300))=P$9,ROUND(U300,0),ROUND(T300,0)),"")))</f>
        <v/>
      </c>
      <c r="X300" s="59" t="str">
        <f>IF(S$10="","",IF(P300&lt;=S$10,IF(P300=S$10,P$4-SUM(W$14:W299),W300),""))</f>
        <v/>
      </c>
    </row>
    <row r="301" spans="3:24" ht="15" hidden="1" customHeight="1" outlineLevel="1" x14ac:dyDescent="0.45">
      <c r="C301" s="124"/>
      <c r="D301" s="105"/>
      <c r="E301" s="131"/>
      <c r="F301" s="71"/>
      <c r="G301" s="78" t="str">
        <f t="shared" si="57"/>
        <v/>
      </c>
      <c r="H301" s="3">
        <f t="shared" si="58"/>
        <v>0</v>
      </c>
      <c r="I301" s="20" t="str">
        <f t="shared" si="59"/>
        <v/>
      </c>
      <c r="J301" s="94" t="str">
        <f t="shared" si="56"/>
        <v/>
      </c>
      <c r="K301" s="20" t="str">
        <f t="shared" si="60"/>
        <v/>
      </c>
      <c r="L301" s="94" t="str">
        <f t="shared" si="61"/>
        <v/>
      </c>
      <c r="M301" s="84" t="str">
        <f t="shared" si="62"/>
        <v/>
      </c>
      <c r="O301" s="36" t="str">
        <f t="shared" si="63"/>
        <v/>
      </c>
      <c r="P301" s="27" t="str">
        <f t="shared" si="64"/>
        <v/>
      </c>
      <c r="Q301" s="30" t="str">
        <f t="shared" si="65"/>
        <v/>
      </c>
      <c r="R301" s="19"/>
      <c r="S301" s="19" t="str">
        <f t="shared" si="66"/>
        <v/>
      </c>
      <c r="T301" s="19" t="str">
        <f t="shared" si="67"/>
        <v/>
      </c>
      <c r="U301" s="57" t="str">
        <f t="shared" si="68"/>
        <v/>
      </c>
      <c r="V301" s="57" t="str">
        <f t="shared" si="69"/>
        <v/>
      </c>
      <c r="W301" s="63" t="str">
        <f>IF(U301="","",IF(T302="",P$4-SUM(W$14:W300),IF((YEAR(O301)*1000+MONTH(O301))&gt;=P$9,IF((YEAR(O301)*1000+MONTH(O301))=P$9,ROUND(U301,0),ROUND(T301,0)),"")))</f>
        <v/>
      </c>
      <c r="X301" s="59" t="str">
        <f>IF(S$10="","",IF(P301&lt;=S$10,IF(P301=S$10,P$4-SUM(W$14:W300),W301),""))</f>
        <v/>
      </c>
    </row>
    <row r="302" spans="3:24" ht="15" hidden="1" customHeight="1" outlineLevel="1" x14ac:dyDescent="0.45">
      <c r="C302" s="124"/>
      <c r="D302" s="105"/>
      <c r="E302" s="131"/>
      <c r="F302" s="71"/>
      <c r="G302" s="78" t="str">
        <f t="shared" si="57"/>
        <v/>
      </c>
      <c r="H302" s="3">
        <f t="shared" si="58"/>
        <v>0</v>
      </c>
      <c r="I302" s="20" t="str">
        <f t="shared" si="59"/>
        <v/>
      </c>
      <c r="J302" s="94" t="str">
        <f t="shared" si="56"/>
        <v/>
      </c>
      <c r="K302" s="20" t="str">
        <f t="shared" si="60"/>
        <v/>
      </c>
      <c r="L302" s="94" t="str">
        <f t="shared" si="61"/>
        <v/>
      </c>
      <c r="M302" s="84" t="str">
        <f t="shared" si="62"/>
        <v/>
      </c>
      <c r="O302" s="36" t="str">
        <f t="shared" si="63"/>
        <v/>
      </c>
      <c r="P302" s="27" t="str">
        <f t="shared" si="64"/>
        <v/>
      </c>
      <c r="Q302" s="30" t="str">
        <f t="shared" si="65"/>
        <v/>
      </c>
      <c r="R302" s="19"/>
      <c r="S302" s="19" t="str">
        <f t="shared" si="66"/>
        <v/>
      </c>
      <c r="T302" s="19" t="str">
        <f t="shared" si="67"/>
        <v/>
      </c>
      <c r="U302" s="57" t="str">
        <f t="shared" si="68"/>
        <v/>
      </c>
      <c r="V302" s="57" t="str">
        <f t="shared" si="69"/>
        <v/>
      </c>
      <c r="W302" s="63" t="str">
        <f>IF(U302="","",IF(T303="",P$4-SUM(W$14:W301),IF((YEAR(O302)*1000+MONTH(O302))&gt;=P$9,IF((YEAR(O302)*1000+MONTH(O302))=P$9,ROUND(U302,0),ROUND(T302,0)),"")))</f>
        <v/>
      </c>
      <c r="X302" s="59" t="str">
        <f>IF(S$10="","",IF(P302&lt;=S$10,IF(P302=S$10,P$4-SUM(W$14:W301),W302),""))</f>
        <v/>
      </c>
    </row>
    <row r="303" spans="3:24" ht="15" hidden="1" customHeight="1" outlineLevel="1" x14ac:dyDescent="0.45">
      <c r="C303" s="124"/>
      <c r="D303" s="105"/>
      <c r="E303" s="131"/>
      <c r="F303" s="71"/>
      <c r="G303" s="78" t="str">
        <f t="shared" si="57"/>
        <v/>
      </c>
      <c r="H303" s="3">
        <f t="shared" si="58"/>
        <v>0</v>
      </c>
      <c r="I303" s="20" t="str">
        <f t="shared" si="59"/>
        <v/>
      </c>
      <c r="J303" s="94" t="str">
        <f t="shared" si="56"/>
        <v/>
      </c>
      <c r="K303" s="20" t="str">
        <f t="shared" si="60"/>
        <v/>
      </c>
      <c r="L303" s="94" t="str">
        <f t="shared" si="61"/>
        <v/>
      </c>
      <c r="M303" s="84" t="str">
        <f t="shared" si="62"/>
        <v/>
      </c>
      <c r="O303" s="36" t="str">
        <f t="shared" si="63"/>
        <v/>
      </c>
      <c r="P303" s="27" t="str">
        <f t="shared" si="64"/>
        <v/>
      </c>
      <c r="Q303" s="30" t="str">
        <f t="shared" si="65"/>
        <v/>
      </c>
      <c r="R303" s="19"/>
      <c r="S303" s="19" t="str">
        <f t="shared" si="66"/>
        <v/>
      </c>
      <c r="T303" s="19" t="str">
        <f t="shared" si="67"/>
        <v/>
      </c>
      <c r="U303" s="57" t="str">
        <f t="shared" si="68"/>
        <v/>
      </c>
      <c r="V303" s="57" t="str">
        <f t="shared" si="69"/>
        <v/>
      </c>
      <c r="W303" s="63" t="str">
        <f>IF(U303="","",IF(T304="",P$4-SUM(W$14:W302),IF((YEAR(O303)*1000+MONTH(O303))&gt;=P$9,IF((YEAR(O303)*1000+MONTH(O303))=P$9,ROUND(U303,0),ROUND(T303,0)),"")))</f>
        <v/>
      </c>
      <c r="X303" s="59" t="str">
        <f>IF(S$10="","",IF(P303&lt;=S$10,IF(P303=S$10,P$4-SUM(W$14:W302),W303),""))</f>
        <v/>
      </c>
    </row>
    <row r="304" spans="3:24" ht="15" hidden="1" customHeight="1" outlineLevel="1" x14ac:dyDescent="0.45">
      <c r="C304" s="124"/>
      <c r="D304" s="105"/>
      <c r="E304" s="131"/>
      <c r="F304" s="71"/>
      <c r="G304" s="78" t="str">
        <f t="shared" si="57"/>
        <v/>
      </c>
      <c r="H304" s="3">
        <f t="shared" si="58"/>
        <v>0</v>
      </c>
      <c r="I304" s="20" t="str">
        <f t="shared" si="59"/>
        <v/>
      </c>
      <c r="J304" s="94" t="str">
        <f t="shared" si="56"/>
        <v/>
      </c>
      <c r="K304" s="20" t="str">
        <f t="shared" si="60"/>
        <v/>
      </c>
      <c r="L304" s="94" t="str">
        <f t="shared" si="61"/>
        <v/>
      </c>
      <c r="M304" s="84" t="str">
        <f t="shared" si="62"/>
        <v/>
      </c>
      <c r="O304" s="36" t="str">
        <f t="shared" si="63"/>
        <v/>
      </c>
      <c r="P304" s="27" t="str">
        <f t="shared" si="64"/>
        <v/>
      </c>
      <c r="Q304" s="30" t="str">
        <f t="shared" si="65"/>
        <v/>
      </c>
      <c r="R304" s="19"/>
      <c r="S304" s="19" t="str">
        <f t="shared" si="66"/>
        <v/>
      </c>
      <c r="T304" s="19" t="str">
        <f t="shared" si="67"/>
        <v/>
      </c>
      <c r="U304" s="57" t="str">
        <f t="shared" si="68"/>
        <v/>
      </c>
      <c r="V304" s="57" t="str">
        <f t="shared" si="69"/>
        <v/>
      </c>
      <c r="W304" s="63" t="str">
        <f>IF(U304="","",IF(T305="",P$4-SUM(W$14:W303),IF((YEAR(O304)*1000+MONTH(O304))&gt;=P$9,IF((YEAR(O304)*1000+MONTH(O304))=P$9,ROUND(U304,0),ROUND(T304,0)),"")))</f>
        <v/>
      </c>
      <c r="X304" s="59" t="str">
        <f>IF(S$10="","",IF(P304&lt;=S$10,IF(P304=S$10,P$4-SUM(W$14:W303),W304),""))</f>
        <v/>
      </c>
    </row>
    <row r="305" spans="3:24" ht="15" hidden="1" customHeight="1" outlineLevel="1" x14ac:dyDescent="0.45">
      <c r="C305" s="124"/>
      <c r="D305" s="105"/>
      <c r="E305" s="131"/>
      <c r="F305" s="71"/>
      <c r="G305" s="78" t="str">
        <f t="shared" si="57"/>
        <v/>
      </c>
      <c r="H305" s="3">
        <f t="shared" si="58"/>
        <v>0</v>
      </c>
      <c r="I305" s="20" t="str">
        <f t="shared" si="59"/>
        <v/>
      </c>
      <c r="J305" s="94" t="str">
        <f t="shared" si="56"/>
        <v/>
      </c>
      <c r="K305" s="20" t="str">
        <f t="shared" si="60"/>
        <v/>
      </c>
      <c r="L305" s="94" t="str">
        <f t="shared" si="61"/>
        <v/>
      </c>
      <c r="M305" s="84" t="str">
        <f t="shared" si="62"/>
        <v/>
      </c>
      <c r="O305" s="36" t="str">
        <f t="shared" si="63"/>
        <v/>
      </c>
      <c r="P305" s="27" t="str">
        <f t="shared" si="64"/>
        <v/>
      </c>
      <c r="Q305" s="30" t="str">
        <f t="shared" si="65"/>
        <v/>
      </c>
      <c r="R305" s="19"/>
      <c r="S305" s="19" t="str">
        <f t="shared" si="66"/>
        <v/>
      </c>
      <c r="T305" s="19" t="str">
        <f t="shared" si="67"/>
        <v/>
      </c>
      <c r="U305" s="57" t="str">
        <f t="shared" si="68"/>
        <v/>
      </c>
      <c r="V305" s="57" t="str">
        <f t="shared" si="69"/>
        <v/>
      </c>
      <c r="W305" s="63" t="str">
        <f>IF(U305="","",IF(T306="",P$4-SUM(W$14:W304),IF((YEAR(O305)*1000+MONTH(O305))&gt;=P$9,IF((YEAR(O305)*1000+MONTH(O305))=P$9,ROUND(U305,0),ROUND(T305,0)),"")))</f>
        <v/>
      </c>
      <c r="X305" s="59" t="str">
        <f>IF(S$10="","",IF(P305&lt;=S$10,IF(P305=S$10,P$4-SUM(W$14:W304),W305),""))</f>
        <v/>
      </c>
    </row>
    <row r="306" spans="3:24" ht="15" hidden="1" customHeight="1" outlineLevel="1" x14ac:dyDescent="0.45">
      <c r="C306" s="124"/>
      <c r="D306" s="105"/>
      <c r="E306" s="131"/>
      <c r="F306" s="71"/>
      <c r="G306" s="78" t="str">
        <f t="shared" si="57"/>
        <v/>
      </c>
      <c r="H306" s="3">
        <f t="shared" si="58"/>
        <v>0</v>
      </c>
      <c r="I306" s="20" t="str">
        <f t="shared" si="59"/>
        <v/>
      </c>
      <c r="J306" s="94" t="str">
        <f t="shared" si="56"/>
        <v/>
      </c>
      <c r="K306" s="20" t="str">
        <f t="shared" si="60"/>
        <v/>
      </c>
      <c r="L306" s="94" t="str">
        <f t="shared" si="61"/>
        <v/>
      </c>
      <c r="M306" s="84" t="str">
        <f t="shared" si="62"/>
        <v/>
      </c>
      <c r="O306" s="36" t="str">
        <f t="shared" si="63"/>
        <v/>
      </c>
      <c r="P306" s="27" t="str">
        <f t="shared" si="64"/>
        <v/>
      </c>
      <c r="Q306" s="30" t="str">
        <f t="shared" si="65"/>
        <v/>
      </c>
      <c r="R306" s="19"/>
      <c r="S306" s="19" t="str">
        <f t="shared" si="66"/>
        <v/>
      </c>
      <c r="T306" s="19" t="str">
        <f t="shared" si="67"/>
        <v/>
      </c>
      <c r="U306" s="57" t="str">
        <f t="shared" si="68"/>
        <v/>
      </c>
      <c r="V306" s="57" t="str">
        <f t="shared" si="69"/>
        <v/>
      </c>
      <c r="W306" s="63" t="str">
        <f>IF(U306="","",IF(T307="",P$4-SUM(W$14:W305),IF((YEAR(O306)*1000+MONTH(O306))&gt;=P$9,IF((YEAR(O306)*1000+MONTH(O306))=P$9,ROUND(U306,0),ROUND(T306,0)),"")))</f>
        <v/>
      </c>
      <c r="X306" s="59" t="str">
        <f>IF(S$10="","",IF(P306&lt;=S$10,IF(P306=S$10,P$4-SUM(W$14:W305),W306),""))</f>
        <v/>
      </c>
    </row>
    <row r="307" spans="3:24" ht="15" hidden="1" customHeight="1" outlineLevel="1" x14ac:dyDescent="0.45">
      <c r="C307" s="124"/>
      <c r="D307" s="105"/>
      <c r="E307" s="131"/>
      <c r="F307" s="71"/>
      <c r="G307" s="78" t="str">
        <f t="shared" si="57"/>
        <v/>
      </c>
      <c r="H307" s="3">
        <f t="shared" si="58"/>
        <v>0</v>
      </c>
      <c r="I307" s="20" t="str">
        <f t="shared" si="59"/>
        <v/>
      </c>
      <c r="J307" s="94" t="str">
        <f t="shared" si="56"/>
        <v/>
      </c>
      <c r="K307" s="20" t="str">
        <f t="shared" si="60"/>
        <v/>
      </c>
      <c r="L307" s="94" t="str">
        <f t="shared" si="61"/>
        <v/>
      </c>
      <c r="M307" s="84" t="str">
        <f t="shared" si="62"/>
        <v/>
      </c>
      <c r="O307" s="36" t="str">
        <f t="shared" si="63"/>
        <v/>
      </c>
      <c r="P307" s="27" t="str">
        <f t="shared" si="64"/>
        <v/>
      </c>
      <c r="Q307" s="30" t="str">
        <f t="shared" si="65"/>
        <v/>
      </c>
      <c r="R307" s="19"/>
      <c r="S307" s="19" t="str">
        <f t="shared" si="66"/>
        <v/>
      </c>
      <c r="T307" s="19" t="str">
        <f t="shared" si="67"/>
        <v/>
      </c>
      <c r="U307" s="57" t="str">
        <f t="shared" si="68"/>
        <v/>
      </c>
      <c r="V307" s="57" t="str">
        <f t="shared" si="69"/>
        <v/>
      </c>
      <c r="W307" s="63" t="str">
        <f>IF(U307="","",IF(T308="",P$4-SUM(W$14:W306),IF((YEAR(O307)*1000+MONTH(O307))&gt;=P$9,IF((YEAR(O307)*1000+MONTH(O307))=P$9,ROUND(U307,0),ROUND(T307,0)),"")))</f>
        <v/>
      </c>
      <c r="X307" s="59" t="str">
        <f>IF(S$10="","",IF(P307&lt;=S$10,IF(P307=S$10,P$4-SUM(W$14:W306),W307),""))</f>
        <v/>
      </c>
    </row>
    <row r="308" spans="3:24" ht="15" hidden="1" customHeight="1" outlineLevel="1" x14ac:dyDescent="0.45">
      <c r="C308" s="124"/>
      <c r="D308" s="105"/>
      <c r="E308" s="131"/>
      <c r="F308" s="71"/>
      <c r="G308" s="78" t="str">
        <f t="shared" si="57"/>
        <v/>
      </c>
      <c r="H308" s="3">
        <f t="shared" si="58"/>
        <v>0</v>
      </c>
      <c r="I308" s="20" t="str">
        <f t="shared" si="59"/>
        <v/>
      </c>
      <c r="J308" s="94" t="str">
        <f t="shared" si="56"/>
        <v/>
      </c>
      <c r="K308" s="20" t="str">
        <f t="shared" si="60"/>
        <v/>
      </c>
      <c r="L308" s="94" t="str">
        <f t="shared" si="61"/>
        <v/>
      </c>
      <c r="M308" s="84" t="str">
        <f t="shared" si="62"/>
        <v/>
      </c>
      <c r="O308" s="36" t="str">
        <f t="shared" si="63"/>
        <v/>
      </c>
      <c r="P308" s="27" t="str">
        <f t="shared" si="64"/>
        <v/>
      </c>
      <c r="Q308" s="30" t="str">
        <f t="shared" si="65"/>
        <v/>
      </c>
      <c r="R308" s="19"/>
      <c r="S308" s="19" t="str">
        <f t="shared" si="66"/>
        <v/>
      </c>
      <c r="T308" s="19" t="str">
        <f t="shared" si="67"/>
        <v/>
      </c>
      <c r="U308" s="57" t="str">
        <f t="shared" si="68"/>
        <v/>
      </c>
      <c r="V308" s="57" t="str">
        <f t="shared" si="69"/>
        <v/>
      </c>
      <c r="W308" s="63" t="str">
        <f>IF(U308="","",IF(T309="",P$4-SUM(W$14:W307),IF((YEAR(O308)*1000+MONTH(O308))&gt;=P$9,IF((YEAR(O308)*1000+MONTH(O308))=P$9,ROUND(U308,0),ROUND(T308,0)),"")))</f>
        <v/>
      </c>
      <c r="X308" s="59" t="str">
        <f>IF(S$10="","",IF(P308&lt;=S$10,IF(P308=S$10,P$4-SUM(W$14:W307),W308),""))</f>
        <v/>
      </c>
    </row>
    <row r="309" spans="3:24" ht="15" hidden="1" customHeight="1" outlineLevel="1" x14ac:dyDescent="0.45">
      <c r="C309" s="124"/>
      <c r="D309" s="105"/>
      <c r="E309" s="131"/>
      <c r="F309" s="71"/>
      <c r="G309" s="78" t="str">
        <f t="shared" si="57"/>
        <v/>
      </c>
      <c r="H309" s="3">
        <f t="shared" si="58"/>
        <v>0</v>
      </c>
      <c r="I309" s="20" t="str">
        <f t="shared" si="59"/>
        <v/>
      </c>
      <c r="J309" s="94" t="str">
        <f t="shared" si="56"/>
        <v/>
      </c>
      <c r="K309" s="20" t="str">
        <f t="shared" si="60"/>
        <v/>
      </c>
      <c r="L309" s="94" t="str">
        <f t="shared" si="61"/>
        <v/>
      </c>
      <c r="M309" s="84" t="str">
        <f t="shared" si="62"/>
        <v/>
      </c>
      <c r="O309" s="36" t="str">
        <f t="shared" si="63"/>
        <v/>
      </c>
      <c r="P309" s="27" t="str">
        <f t="shared" si="64"/>
        <v/>
      </c>
      <c r="Q309" s="30" t="str">
        <f t="shared" si="65"/>
        <v/>
      </c>
      <c r="R309" s="19"/>
      <c r="S309" s="19" t="str">
        <f t="shared" si="66"/>
        <v/>
      </c>
      <c r="T309" s="19" t="str">
        <f t="shared" si="67"/>
        <v/>
      </c>
      <c r="U309" s="57" t="str">
        <f t="shared" si="68"/>
        <v/>
      </c>
      <c r="V309" s="57" t="str">
        <f t="shared" si="69"/>
        <v/>
      </c>
      <c r="W309" s="63" t="str">
        <f>IF(U309="","",IF(T310="",P$4-SUM(W$14:W308),IF((YEAR(O309)*1000+MONTH(O309))&gt;=P$9,IF((YEAR(O309)*1000+MONTH(O309))=P$9,ROUND(U309,0),ROUND(T309,0)),"")))</f>
        <v/>
      </c>
      <c r="X309" s="59" t="str">
        <f>IF(S$10="","",IF(P309&lt;=S$10,IF(P309=S$10,P$4-SUM(W$14:W308),W309),""))</f>
        <v/>
      </c>
    </row>
    <row r="310" spans="3:24" ht="15" hidden="1" customHeight="1" outlineLevel="1" x14ac:dyDescent="0.45">
      <c r="C310" s="124"/>
      <c r="D310" s="105"/>
      <c r="E310" s="131"/>
      <c r="F310" s="71"/>
      <c r="G310" s="78" t="str">
        <f t="shared" si="57"/>
        <v/>
      </c>
      <c r="H310" s="3">
        <f t="shared" si="58"/>
        <v>0</v>
      </c>
      <c r="I310" s="20" t="str">
        <f t="shared" si="59"/>
        <v/>
      </c>
      <c r="J310" s="94" t="str">
        <f t="shared" si="56"/>
        <v/>
      </c>
      <c r="K310" s="20" t="str">
        <f t="shared" si="60"/>
        <v/>
      </c>
      <c r="L310" s="94" t="str">
        <f t="shared" si="61"/>
        <v/>
      </c>
      <c r="M310" s="84" t="str">
        <f t="shared" si="62"/>
        <v/>
      </c>
      <c r="O310" s="36" t="str">
        <f t="shared" si="63"/>
        <v/>
      </c>
      <c r="P310" s="27" t="str">
        <f t="shared" si="64"/>
        <v/>
      </c>
      <c r="Q310" s="30" t="str">
        <f t="shared" si="65"/>
        <v/>
      </c>
      <c r="R310" s="19"/>
      <c r="S310" s="19" t="str">
        <f t="shared" si="66"/>
        <v/>
      </c>
      <c r="T310" s="19" t="str">
        <f t="shared" si="67"/>
        <v/>
      </c>
      <c r="U310" s="57" t="str">
        <f t="shared" si="68"/>
        <v/>
      </c>
      <c r="V310" s="57" t="str">
        <f t="shared" si="69"/>
        <v/>
      </c>
      <c r="W310" s="63" t="str">
        <f>IF(U310="","",IF(T311="",P$4-SUM(W$14:W309),IF((YEAR(O310)*1000+MONTH(O310))&gt;=P$9,IF((YEAR(O310)*1000+MONTH(O310))=P$9,ROUND(U310,0),ROUND(T310,0)),"")))</f>
        <v/>
      </c>
      <c r="X310" s="59" t="str">
        <f>IF(S$10="","",IF(P310&lt;=S$10,IF(P310=S$10,P$4-SUM(W$14:W309),W310),""))</f>
        <v/>
      </c>
    </row>
    <row r="311" spans="3:24" ht="15" hidden="1" customHeight="1" outlineLevel="1" x14ac:dyDescent="0.45">
      <c r="C311" s="124"/>
      <c r="D311" s="105"/>
      <c r="E311" s="131"/>
      <c r="F311" s="71"/>
      <c r="G311" s="78" t="str">
        <f t="shared" si="57"/>
        <v/>
      </c>
      <c r="H311" s="3">
        <f t="shared" si="58"/>
        <v>0</v>
      </c>
      <c r="I311" s="20" t="str">
        <f t="shared" si="59"/>
        <v/>
      </c>
      <c r="J311" s="94" t="str">
        <f t="shared" si="56"/>
        <v/>
      </c>
      <c r="K311" s="20" t="str">
        <f t="shared" si="60"/>
        <v/>
      </c>
      <c r="L311" s="94" t="str">
        <f t="shared" si="61"/>
        <v/>
      </c>
      <c r="M311" s="84" t="str">
        <f t="shared" si="62"/>
        <v/>
      </c>
      <c r="O311" s="36" t="str">
        <f t="shared" si="63"/>
        <v/>
      </c>
      <c r="P311" s="27" t="str">
        <f t="shared" si="64"/>
        <v/>
      </c>
      <c r="Q311" s="30" t="str">
        <f t="shared" si="65"/>
        <v/>
      </c>
      <c r="R311" s="19"/>
      <c r="S311" s="19" t="str">
        <f t="shared" si="66"/>
        <v/>
      </c>
      <c r="T311" s="19" t="str">
        <f t="shared" si="67"/>
        <v/>
      </c>
      <c r="U311" s="57" t="str">
        <f t="shared" si="68"/>
        <v/>
      </c>
      <c r="V311" s="57" t="str">
        <f t="shared" si="69"/>
        <v/>
      </c>
      <c r="W311" s="63" t="str">
        <f>IF(U311="","",IF(T312="",P$4-SUM(W$14:W310),IF((YEAR(O311)*1000+MONTH(O311))&gt;=P$9,IF((YEAR(O311)*1000+MONTH(O311))=P$9,ROUND(U311,0),ROUND(T311,0)),"")))</f>
        <v/>
      </c>
      <c r="X311" s="59" t="str">
        <f>IF(S$10="","",IF(P311&lt;=S$10,IF(P311=S$10,P$4-SUM(W$14:W310),W311),""))</f>
        <v/>
      </c>
    </row>
    <row r="312" spans="3:24" ht="15" hidden="1" customHeight="1" outlineLevel="1" x14ac:dyDescent="0.45">
      <c r="C312" s="124"/>
      <c r="D312" s="105"/>
      <c r="E312" s="131"/>
      <c r="F312" s="71"/>
      <c r="G312" s="78" t="str">
        <f t="shared" si="57"/>
        <v/>
      </c>
      <c r="H312" s="3">
        <f t="shared" si="58"/>
        <v>0</v>
      </c>
      <c r="I312" s="20" t="str">
        <f t="shared" si="59"/>
        <v/>
      </c>
      <c r="J312" s="94" t="str">
        <f t="shared" si="56"/>
        <v/>
      </c>
      <c r="K312" s="20" t="str">
        <f t="shared" si="60"/>
        <v/>
      </c>
      <c r="L312" s="94" t="str">
        <f t="shared" si="61"/>
        <v/>
      </c>
      <c r="M312" s="84" t="str">
        <f t="shared" si="62"/>
        <v/>
      </c>
      <c r="O312" s="36" t="str">
        <f t="shared" si="63"/>
        <v/>
      </c>
      <c r="P312" s="27" t="str">
        <f t="shared" si="64"/>
        <v/>
      </c>
      <c r="Q312" s="30" t="str">
        <f t="shared" si="65"/>
        <v/>
      </c>
      <c r="R312" s="19"/>
      <c r="S312" s="19" t="str">
        <f t="shared" si="66"/>
        <v/>
      </c>
      <c r="T312" s="19" t="str">
        <f t="shared" si="67"/>
        <v/>
      </c>
      <c r="U312" s="57" t="str">
        <f t="shared" si="68"/>
        <v/>
      </c>
      <c r="V312" s="57" t="str">
        <f t="shared" si="69"/>
        <v/>
      </c>
      <c r="W312" s="63" t="str">
        <f>IF(U312="","",IF(T313="",P$4-SUM(W$14:W311),IF((YEAR(O312)*1000+MONTH(O312))&gt;=P$9,IF((YEAR(O312)*1000+MONTH(O312))=P$9,ROUND(U312,0),ROUND(T312,0)),"")))</f>
        <v/>
      </c>
      <c r="X312" s="59" t="str">
        <f>IF(S$10="","",IF(P312&lt;=S$10,IF(P312=S$10,P$4-SUM(W$14:W311),W312),""))</f>
        <v/>
      </c>
    </row>
    <row r="313" spans="3:24" ht="15" hidden="1" customHeight="1" outlineLevel="1" x14ac:dyDescent="0.45">
      <c r="C313" s="124"/>
      <c r="D313" s="105"/>
      <c r="E313" s="131"/>
      <c r="F313" s="71"/>
      <c r="G313" s="78" t="str">
        <f t="shared" si="57"/>
        <v/>
      </c>
      <c r="H313" s="3">
        <f t="shared" si="58"/>
        <v>0</v>
      </c>
      <c r="I313" s="20" t="str">
        <f t="shared" si="59"/>
        <v/>
      </c>
      <c r="J313" s="94" t="str">
        <f t="shared" si="56"/>
        <v/>
      </c>
      <c r="K313" s="20" t="str">
        <f t="shared" si="60"/>
        <v/>
      </c>
      <c r="L313" s="94" t="str">
        <f t="shared" si="61"/>
        <v/>
      </c>
      <c r="M313" s="84" t="str">
        <f t="shared" si="62"/>
        <v/>
      </c>
      <c r="O313" s="36" t="str">
        <f t="shared" si="63"/>
        <v/>
      </c>
      <c r="P313" s="27" t="str">
        <f t="shared" si="64"/>
        <v/>
      </c>
      <c r="Q313" s="30" t="str">
        <f t="shared" si="65"/>
        <v/>
      </c>
      <c r="R313" s="19"/>
      <c r="S313" s="19" t="str">
        <f t="shared" si="66"/>
        <v/>
      </c>
      <c r="T313" s="19" t="str">
        <f t="shared" si="67"/>
        <v/>
      </c>
      <c r="U313" s="57" t="str">
        <f t="shared" si="68"/>
        <v/>
      </c>
      <c r="V313" s="57" t="str">
        <f t="shared" si="69"/>
        <v/>
      </c>
      <c r="W313" s="63" t="str">
        <f>IF(U313="","",IF(T314="",P$4-SUM(W$14:W312),IF((YEAR(O313)*1000+MONTH(O313))&gt;=P$9,IF((YEAR(O313)*1000+MONTH(O313))=P$9,ROUND(U313,0),ROUND(T313,0)),"")))</f>
        <v/>
      </c>
      <c r="X313" s="59" t="str">
        <f>IF(S$10="","",IF(P313&lt;=S$10,IF(P313=S$10,P$4-SUM(W$14:W312),W313),""))</f>
        <v/>
      </c>
    </row>
    <row r="314" spans="3:24" ht="15" hidden="1" customHeight="1" outlineLevel="1" x14ac:dyDescent="0.45">
      <c r="C314" s="124"/>
      <c r="D314" s="105"/>
      <c r="E314" s="131"/>
      <c r="F314" s="71"/>
      <c r="G314" s="78" t="str">
        <f t="shared" si="57"/>
        <v/>
      </c>
      <c r="H314" s="3">
        <f t="shared" si="58"/>
        <v>0</v>
      </c>
      <c r="I314" s="20" t="str">
        <f t="shared" si="59"/>
        <v/>
      </c>
      <c r="J314" s="94" t="str">
        <f t="shared" si="56"/>
        <v/>
      </c>
      <c r="K314" s="20" t="str">
        <f t="shared" si="60"/>
        <v/>
      </c>
      <c r="L314" s="94" t="str">
        <f t="shared" si="61"/>
        <v/>
      </c>
      <c r="M314" s="84" t="str">
        <f t="shared" si="62"/>
        <v/>
      </c>
      <c r="O314" s="36" t="str">
        <f t="shared" si="63"/>
        <v/>
      </c>
      <c r="P314" s="27" t="str">
        <f t="shared" si="64"/>
        <v/>
      </c>
      <c r="Q314" s="30" t="str">
        <f t="shared" si="65"/>
        <v/>
      </c>
      <c r="R314" s="19"/>
      <c r="S314" s="19" t="str">
        <f t="shared" si="66"/>
        <v/>
      </c>
      <c r="T314" s="19" t="str">
        <f t="shared" si="67"/>
        <v/>
      </c>
      <c r="U314" s="57" t="str">
        <f t="shared" si="68"/>
        <v/>
      </c>
      <c r="V314" s="57" t="str">
        <f t="shared" si="69"/>
        <v/>
      </c>
      <c r="W314" s="63" t="str">
        <f>IF(U314="","",IF(T315="",P$4-SUM(W$14:W313),IF((YEAR(O314)*1000+MONTH(O314))&gt;=P$9,IF((YEAR(O314)*1000+MONTH(O314))=P$9,ROUND(U314,0),ROUND(T314,0)),"")))</f>
        <v/>
      </c>
      <c r="X314" s="59" t="str">
        <f>IF(S$10="","",IF(P314&lt;=S$10,IF(P314=S$10,P$4-SUM(W$14:W313),W314),""))</f>
        <v/>
      </c>
    </row>
    <row r="315" spans="3:24" ht="15" hidden="1" customHeight="1" outlineLevel="1" x14ac:dyDescent="0.45">
      <c r="C315" s="124"/>
      <c r="D315" s="105"/>
      <c r="E315" s="131"/>
      <c r="F315" s="71"/>
      <c r="G315" s="78" t="str">
        <f t="shared" si="57"/>
        <v/>
      </c>
      <c r="H315" s="3">
        <f t="shared" si="58"/>
        <v>0</v>
      </c>
      <c r="I315" s="20" t="str">
        <f t="shared" si="59"/>
        <v/>
      </c>
      <c r="J315" s="94" t="str">
        <f t="shared" si="56"/>
        <v/>
      </c>
      <c r="K315" s="20" t="str">
        <f t="shared" si="60"/>
        <v/>
      </c>
      <c r="L315" s="94" t="str">
        <f t="shared" si="61"/>
        <v/>
      </c>
      <c r="M315" s="84" t="str">
        <f t="shared" si="62"/>
        <v/>
      </c>
      <c r="O315" s="36" t="str">
        <f t="shared" si="63"/>
        <v/>
      </c>
      <c r="P315" s="27" t="str">
        <f t="shared" si="64"/>
        <v/>
      </c>
      <c r="Q315" s="30" t="str">
        <f t="shared" si="65"/>
        <v/>
      </c>
      <c r="R315" s="19"/>
      <c r="S315" s="19" t="str">
        <f t="shared" si="66"/>
        <v/>
      </c>
      <c r="T315" s="19" t="str">
        <f t="shared" si="67"/>
        <v/>
      </c>
      <c r="U315" s="57" t="str">
        <f t="shared" si="68"/>
        <v/>
      </c>
      <c r="V315" s="57" t="str">
        <f t="shared" si="69"/>
        <v/>
      </c>
      <c r="W315" s="63" t="str">
        <f>IF(U315="","",IF(T316="",P$4-SUM(W$14:W314),IF((YEAR(O315)*1000+MONTH(O315))&gt;=P$9,IF((YEAR(O315)*1000+MONTH(O315))=P$9,ROUND(U315,0),ROUND(T315,0)),"")))</f>
        <v/>
      </c>
      <c r="X315" s="59" t="str">
        <f>IF(S$10="","",IF(P315&lt;=S$10,IF(P315=S$10,P$4-SUM(W$14:W314),W315),""))</f>
        <v/>
      </c>
    </row>
    <row r="316" spans="3:24" ht="15" hidden="1" customHeight="1" outlineLevel="1" x14ac:dyDescent="0.45">
      <c r="C316" s="124"/>
      <c r="D316" s="105"/>
      <c r="E316" s="131"/>
      <c r="F316" s="71"/>
      <c r="G316" s="78" t="str">
        <f t="shared" si="57"/>
        <v/>
      </c>
      <c r="H316" s="3">
        <f t="shared" si="58"/>
        <v>0</v>
      </c>
      <c r="I316" s="20" t="str">
        <f t="shared" si="59"/>
        <v/>
      </c>
      <c r="J316" s="94" t="str">
        <f t="shared" si="56"/>
        <v/>
      </c>
      <c r="K316" s="20" t="str">
        <f t="shared" si="60"/>
        <v/>
      </c>
      <c r="L316" s="94" t="str">
        <f t="shared" si="61"/>
        <v/>
      </c>
      <c r="M316" s="84" t="str">
        <f t="shared" si="62"/>
        <v/>
      </c>
      <c r="O316" s="36" t="str">
        <f t="shared" si="63"/>
        <v/>
      </c>
      <c r="P316" s="27" t="str">
        <f t="shared" si="64"/>
        <v/>
      </c>
      <c r="Q316" s="30" t="str">
        <f t="shared" si="65"/>
        <v/>
      </c>
      <c r="R316" s="19"/>
      <c r="S316" s="19" t="str">
        <f t="shared" si="66"/>
        <v/>
      </c>
      <c r="T316" s="19" t="str">
        <f t="shared" si="67"/>
        <v/>
      </c>
      <c r="U316" s="57" t="str">
        <f t="shared" si="68"/>
        <v/>
      </c>
      <c r="V316" s="57" t="str">
        <f t="shared" si="69"/>
        <v/>
      </c>
      <c r="W316" s="63" t="str">
        <f>IF(U316="","",IF(T317="",P$4-SUM(W$14:W315),IF((YEAR(O316)*1000+MONTH(O316))&gt;=P$9,IF((YEAR(O316)*1000+MONTH(O316))=P$9,ROUND(U316,0),ROUND(T316,0)),"")))</f>
        <v/>
      </c>
      <c r="X316" s="59" t="str">
        <f>IF(S$10="","",IF(P316&lt;=S$10,IF(P316=S$10,P$4-SUM(W$14:W315),W316),""))</f>
        <v/>
      </c>
    </row>
    <row r="317" spans="3:24" ht="15" hidden="1" customHeight="1" outlineLevel="1" x14ac:dyDescent="0.45">
      <c r="C317" s="124"/>
      <c r="D317" s="105"/>
      <c r="E317" s="131"/>
      <c r="F317" s="71"/>
      <c r="G317" s="78" t="str">
        <f t="shared" si="57"/>
        <v/>
      </c>
      <c r="H317" s="3">
        <f t="shared" si="58"/>
        <v>0</v>
      </c>
      <c r="I317" s="20" t="str">
        <f t="shared" si="59"/>
        <v/>
      </c>
      <c r="J317" s="94" t="str">
        <f t="shared" si="56"/>
        <v/>
      </c>
      <c r="K317" s="20" t="str">
        <f t="shared" si="60"/>
        <v/>
      </c>
      <c r="L317" s="94" t="str">
        <f t="shared" si="61"/>
        <v/>
      </c>
      <c r="M317" s="84" t="str">
        <f t="shared" si="62"/>
        <v/>
      </c>
      <c r="O317" s="36" t="str">
        <f t="shared" si="63"/>
        <v/>
      </c>
      <c r="P317" s="27" t="str">
        <f t="shared" si="64"/>
        <v/>
      </c>
      <c r="Q317" s="30" t="str">
        <f t="shared" si="65"/>
        <v/>
      </c>
      <c r="R317" s="19"/>
      <c r="S317" s="19" t="str">
        <f t="shared" si="66"/>
        <v/>
      </c>
      <c r="T317" s="19" t="str">
        <f t="shared" si="67"/>
        <v/>
      </c>
      <c r="U317" s="57" t="str">
        <f t="shared" si="68"/>
        <v/>
      </c>
      <c r="V317" s="57" t="str">
        <f t="shared" si="69"/>
        <v/>
      </c>
      <c r="W317" s="63" t="str">
        <f>IF(U317="","",IF(T318="",P$4-SUM(W$14:W316),IF((YEAR(O317)*1000+MONTH(O317))&gt;=P$9,IF((YEAR(O317)*1000+MONTH(O317))=P$9,ROUND(U317,0),ROUND(T317,0)),"")))</f>
        <v/>
      </c>
      <c r="X317" s="59" t="str">
        <f>IF(S$10="","",IF(P317&lt;=S$10,IF(P317=S$10,P$4-SUM(W$14:W316),W317),""))</f>
        <v/>
      </c>
    </row>
    <row r="318" spans="3:24" ht="15" hidden="1" customHeight="1" outlineLevel="1" x14ac:dyDescent="0.45">
      <c r="C318" s="124"/>
      <c r="D318" s="105"/>
      <c r="E318" s="131"/>
      <c r="F318" s="71"/>
      <c r="G318" s="78" t="str">
        <f t="shared" si="57"/>
        <v/>
      </c>
      <c r="H318" s="3">
        <f t="shared" si="58"/>
        <v>0</v>
      </c>
      <c r="I318" s="20" t="str">
        <f t="shared" si="59"/>
        <v/>
      </c>
      <c r="J318" s="94" t="str">
        <f t="shared" si="56"/>
        <v/>
      </c>
      <c r="K318" s="20" t="str">
        <f t="shared" si="60"/>
        <v/>
      </c>
      <c r="L318" s="94" t="str">
        <f t="shared" si="61"/>
        <v/>
      </c>
      <c r="M318" s="84" t="str">
        <f t="shared" si="62"/>
        <v/>
      </c>
      <c r="O318" s="36" t="str">
        <f t="shared" si="63"/>
        <v/>
      </c>
      <c r="P318" s="27" t="str">
        <f t="shared" si="64"/>
        <v/>
      </c>
      <c r="Q318" s="30" t="str">
        <f t="shared" si="65"/>
        <v/>
      </c>
      <c r="R318" s="19"/>
      <c r="S318" s="19" t="str">
        <f t="shared" si="66"/>
        <v/>
      </c>
      <c r="T318" s="19" t="str">
        <f t="shared" si="67"/>
        <v/>
      </c>
      <c r="U318" s="57" t="str">
        <f t="shared" si="68"/>
        <v/>
      </c>
      <c r="V318" s="57" t="str">
        <f t="shared" si="69"/>
        <v/>
      </c>
      <c r="W318" s="63" t="str">
        <f>IF(U318="","",IF(T319="",P$4-SUM(W$14:W317),IF((YEAR(O318)*1000+MONTH(O318))&gt;=P$9,IF((YEAR(O318)*1000+MONTH(O318))=P$9,ROUND(U318,0),ROUND(T318,0)),"")))</f>
        <v/>
      </c>
      <c r="X318" s="59" t="str">
        <f>IF(S$10="","",IF(P318&lt;=S$10,IF(P318=S$10,P$4-SUM(W$14:W317),W318),""))</f>
        <v/>
      </c>
    </row>
    <row r="319" spans="3:24" ht="15" hidden="1" customHeight="1" outlineLevel="1" x14ac:dyDescent="0.45">
      <c r="C319" s="124"/>
      <c r="D319" s="105"/>
      <c r="E319" s="131"/>
      <c r="F319" s="71"/>
      <c r="G319" s="78" t="str">
        <f t="shared" si="57"/>
        <v/>
      </c>
      <c r="H319" s="3">
        <f t="shared" si="58"/>
        <v>0</v>
      </c>
      <c r="I319" s="20" t="str">
        <f t="shared" si="59"/>
        <v/>
      </c>
      <c r="J319" s="94" t="str">
        <f t="shared" si="56"/>
        <v/>
      </c>
      <c r="K319" s="20" t="str">
        <f t="shared" si="60"/>
        <v/>
      </c>
      <c r="L319" s="94" t="str">
        <f t="shared" si="61"/>
        <v/>
      </c>
      <c r="M319" s="84" t="str">
        <f t="shared" si="62"/>
        <v/>
      </c>
      <c r="O319" s="36" t="str">
        <f t="shared" si="63"/>
        <v/>
      </c>
      <c r="P319" s="27" t="str">
        <f t="shared" si="64"/>
        <v/>
      </c>
      <c r="Q319" s="30" t="str">
        <f t="shared" si="65"/>
        <v/>
      </c>
      <c r="R319" s="19"/>
      <c r="S319" s="19" t="str">
        <f t="shared" si="66"/>
        <v/>
      </c>
      <c r="T319" s="19" t="str">
        <f t="shared" si="67"/>
        <v/>
      </c>
      <c r="U319" s="57" t="str">
        <f t="shared" si="68"/>
        <v/>
      </c>
      <c r="V319" s="57" t="str">
        <f t="shared" si="69"/>
        <v/>
      </c>
      <c r="W319" s="63" t="str">
        <f>IF(U319="","",IF(T320="",P$4-SUM(W$14:W318),IF((YEAR(O319)*1000+MONTH(O319))&gt;=P$9,IF((YEAR(O319)*1000+MONTH(O319))=P$9,ROUND(U319,0),ROUND(T319,0)),"")))</f>
        <v/>
      </c>
      <c r="X319" s="59" t="str">
        <f>IF(S$10="","",IF(P319&lt;=S$10,IF(P319=S$10,P$4-SUM(W$14:W318),W319),""))</f>
        <v/>
      </c>
    </row>
    <row r="320" spans="3:24" ht="15" hidden="1" customHeight="1" outlineLevel="1" x14ac:dyDescent="0.45">
      <c r="C320" s="124"/>
      <c r="D320" s="105"/>
      <c r="E320" s="131"/>
      <c r="F320" s="71"/>
      <c r="G320" s="78" t="str">
        <f t="shared" si="57"/>
        <v/>
      </c>
      <c r="H320" s="3">
        <f t="shared" si="58"/>
        <v>0</v>
      </c>
      <c r="I320" s="20" t="str">
        <f t="shared" si="59"/>
        <v/>
      </c>
      <c r="J320" s="94" t="str">
        <f t="shared" si="56"/>
        <v/>
      </c>
      <c r="K320" s="20" t="str">
        <f t="shared" si="60"/>
        <v/>
      </c>
      <c r="L320" s="94" t="str">
        <f t="shared" si="61"/>
        <v/>
      </c>
      <c r="M320" s="84" t="str">
        <f t="shared" si="62"/>
        <v/>
      </c>
      <c r="O320" s="36" t="str">
        <f t="shared" si="63"/>
        <v/>
      </c>
      <c r="P320" s="27" t="str">
        <f t="shared" si="64"/>
        <v/>
      </c>
      <c r="Q320" s="30" t="str">
        <f t="shared" si="65"/>
        <v/>
      </c>
      <c r="R320" s="19"/>
      <c r="S320" s="19" t="str">
        <f t="shared" si="66"/>
        <v/>
      </c>
      <c r="T320" s="19" t="str">
        <f t="shared" si="67"/>
        <v/>
      </c>
      <c r="U320" s="57" t="str">
        <f t="shared" si="68"/>
        <v/>
      </c>
      <c r="V320" s="57" t="str">
        <f t="shared" si="69"/>
        <v/>
      </c>
      <c r="W320" s="63" t="str">
        <f>IF(U320="","",IF(T321="",P$4-SUM(W$14:W319),IF((YEAR(O320)*1000+MONTH(O320))&gt;=P$9,IF((YEAR(O320)*1000+MONTH(O320))=P$9,ROUND(U320,0),ROUND(T320,0)),"")))</f>
        <v/>
      </c>
      <c r="X320" s="59" t="str">
        <f>IF(S$10="","",IF(P320&lt;=S$10,IF(P320=S$10,P$4-SUM(W$14:W319),W320),""))</f>
        <v/>
      </c>
    </row>
    <row r="321" spans="3:24" ht="15" hidden="1" customHeight="1" outlineLevel="1" x14ac:dyDescent="0.45">
      <c r="C321" s="124"/>
      <c r="D321" s="105"/>
      <c r="E321" s="131"/>
      <c r="F321" s="71"/>
      <c r="G321" s="78" t="str">
        <f t="shared" si="57"/>
        <v/>
      </c>
      <c r="H321" s="3">
        <f t="shared" si="58"/>
        <v>0</v>
      </c>
      <c r="I321" s="20" t="str">
        <f t="shared" si="59"/>
        <v/>
      </c>
      <c r="J321" s="94" t="str">
        <f t="shared" si="56"/>
        <v/>
      </c>
      <c r="K321" s="20" t="str">
        <f t="shared" si="60"/>
        <v/>
      </c>
      <c r="L321" s="94" t="str">
        <f t="shared" si="61"/>
        <v/>
      </c>
      <c r="M321" s="84" t="str">
        <f t="shared" si="62"/>
        <v/>
      </c>
      <c r="O321" s="36" t="str">
        <f t="shared" si="63"/>
        <v/>
      </c>
      <c r="P321" s="27" t="str">
        <f t="shared" si="64"/>
        <v/>
      </c>
      <c r="Q321" s="30" t="str">
        <f t="shared" si="65"/>
        <v/>
      </c>
      <c r="R321" s="19"/>
      <c r="S321" s="19" t="str">
        <f t="shared" si="66"/>
        <v/>
      </c>
      <c r="T321" s="19" t="str">
        <f t="shared" si="67"/>
        <v/>
      </c>
      <c r="U321" s="57" t="str">
        <f t="shared" si="68"/>
        <v/>
      </c>
      <c r="V321" s="57" t="str">
        <f t="shared" si="69"/>
        <v/>
      </c>
      <c r="W321" s="63" t="str">
        <f>IF(U321="","",IF(T322="",P$4-SUM(W$14:W320),IF((YEAR(O321)*1000+MONTH(O321))&gt;=P$9,IF((YEAR(O321)*1000+MONTH(O321))=P$9,ROUND(U321,0),ROUND(T321,0)),"")))</f>
        <v/>
      </c>
      <c r="X321" s="59" t="str">
        <f>IF(S$10="","",IF(P321&lt;=S$10,IF(P321=S$10,P$4-SUM(W$14:W320),W321),""))</f>
        <v/>
      </c>
    </row>
    <row r="322" spans="3:24" ht="15" hidden="1" customHeight="1" outlineLevel="1" x14ac:dyDescent="0.45">
      <c r="C322" s="124"/>
      <c r="D322" s="105"/>
      <c r="E322" s="131"/>
      <c r="F322" s="71"/>
      <c r="G322" s="78" t="str">
        <f t="shared" si="57"/>
        <v/>
      </c>
      <c r="H322" s="3">
        <f t="shared" si="58"/>
        <v>0</v>
      </c>
      <c r="I322" s="20" t="str">
        <f t="shared" si="59"/>
        <v/>
      </c>
      <c r="J322" s="94" t="str">
        <f t="shared" si="56"/>
        <v/>
      </c>
      <c r="K322" s="20" t="str">
        <f t="shared" si="60"/>
        <v/>
      </c>
      <c r="L322" s="94" t="str">
        <f t="shared" si="61"/>
        <v/>
      </c>
      <c r="M322" s="84" t="str">
        <f t="shared" si="62"/>
        <v/>
      </c>
      <c r="O322" s="36" t="str">
        <f t="shared" si="63"/>
        <v/>
      </c>
      <c r="P322" s="27" t="str">
        <f t="shared" si="64"/>
        <v/>
      </c>
      <c r="Q322" s="30" t="str">
        <f t="shared" si="65"/>
        <v/>
      </c>
      <c r="R322" s="19"/>
      <c r="S322" s="19" t="str">
        <f t="shared" si="66"/>
        <v/>
      </c>
      <c r="T322" s="19" t="str">
        <f t="shared" si="67"/>
        <v/>
      </c>
      <c r="U322" s="57" t="str">
        <f t="shared" si="68"/>
        <v/>
      </c>
      <c r="V322" s="57" t="str">
        <f t="shared" si="69"/>
        <v/>
      </c>
      <c r="W322" s="63" t="str">
        <f>IF(U322="","",IF(T323="",P$4-SUM(W$14:W321),IF((YEAR(O322)*1000+MONTH(O322))&gt;=P$9,IF((YEAR(O322)*1000+MONTH(O322))=P$9,ROUND(U322,0),ROUND(T322,0)),"")))</f>
        <v/>
      </c>
      <c r="X322" s="59" t="str">
        <f>IF(S$10="","",IF(P322&lt;=S$10,IF(P322=S$10,P$4-SUM(W$14:W321),W322),""))</f>
        <v/>
      </c>
    </row>
    <row r="323" spans="3:24" ht="15" hidden="1" customHeight="1" outlineLevel="1" x14ac:dyDescent="0.45">
      <c r="C323" s="124"/>
      <c r="D323" s="105"/>
      <c r="E323" s="131"/>
      <c r="F323" s="71"/>
      <c r="G323" s="78" t="str">
        <f t="shared" si="57"/>
        <v/>
      </c>
      <c r="H323" s="3">
        <f t="shared" si="58"/>
        <v>0</v>
      </c>
      <c r="I323" s="20" t="str">
        <f t="shared" si="59"/>
        <v/>
      </c>
      <c r="J323" s="94" t="str">
        <f t="shared" si="56"/>
        <v/>
      </c>
      <c r="K323" s="20" t="str">
        <f t="shared" si="60"/>
        <v/>
      </c>
      <c r="L323" s="94" t="str">
        <f t="shared" si="61"/>
        <v/>
      </c>
      <c r="M323" s="84" t="str">
        <f t="shared" si="62"/>
        <v/>
      </c>
      <c r="O323" s="36" t="str">
        <f t="shared" si="63"/>
        <v/>
      </c>
      <c r="P323" s="27" t="str">
        <f t="shared" si="64"/>
        <v/>
      </c>
      <c r="Q323" s="30" t="str">
        <f t="shared" si="65"/>
        <v/>
      </c>
      <c r="R323" s="19"/>
      <c r="S323" s="19" t="str">
        <f t="shared" si="66"/>
        <v/>
      </c>
      <c r="T323" s="19" t="str">
        <f t="shared" si="67"/>
        <v/>
      </c>
      <c r="U323" s="57" t="str">
        <f t="shared" si="68"/>
        <v/>
      </c>
      <c r="V323" s="57" t="str">
        <f t="shared" si="69"/>
        <v/>
      </c>
      <c r="W323" s="63" t="str">
        <f>IF(U323="","",IF(T324="",P$4-SUM(W$14:W322),IF((YEAR(O323)*1000+MONTH(O323))&gt;=P$9,IF((YEAR(O323)*1000+MONTH(O323))=P$9,ROUND(U323,0),ROUND(T323,0)),"")))</f>
        <v/>
      </c>
      <c r="X323" s="59" t="str">
        <f>IF(S$10="","",IF(P323&lt;=S$10,IF(P323=S$10,P$4-SUM(W$14:W322),W323),""))</f>
        <v/>
      </c>
    </row>
    <row r="324" spans="3:24" ht="15" hidden="1" customHeight="1" outlineLevel="1" x14ac:dyDescent="0.45">
      <c r="C324" s="124"/>
      <c r="D324" s="105"/>
      <c r="E324" s="131"/>
      <c r="F324" s="71"/>
      <c r="G324" s="78" t="str">
        <f t="shared" si="57"/>
        <v/>
      </c>
      <c r="H324" s="3">
        <f t="shared" si="58"/>
        <v>0</v>
      </c>
      <c r="I324" s="20" t="str">
        <f t="shared" si="59"/>
        <v/>
      </c>
      <c r="J324" s="94" t="str">
        <f t="shared" si="56"/>
        <v/>
      </c>
      <c r="K324" s="20" t="str">
        <f t="shared" si="60"/>
        <v/>
      </c>
      <c r="L324" s="94" t="str">
        <f t="shared" si="61"/>
        <v/>
      </c>
      <c r="M324" s="84" t="str">
        <f t="shared" si="62"/>
        <v/>
      </c>
      <c r="O324" s="36" t="str">
        <f t="shared" si="63"/>
        <v/>
      </c>
      <c r="P324" s="27" t="str">
        <f t="shared" si="64"/>
        <v/>
      </c>
      <c r="Q324" s="30" t="str">
        <f t="shared" si="65"/>
        <v/>
      </c>
      <c r="R324" s="19"/>
      <c r="S324" s="19" t="str">
        <f t="shared" si="66"/>
        <v/>
      </c>
      <c r="T324" s="19" t="str">
        <f t="shared" si="67"/>
        <v/>
      </c>
      <c r="U324" s="57" t="str">
        <f t="shared" si="68"/>
        <v/>
      </c>
      <c r="V324" s="57" t="str">
        <f t="shared" si="69"/>
        <v/>
      </c>
      <c r="W324" s="63" t="str">
        <f>IF(U324="","",IF(T325="",P$4-SUM(W$14:W323),IF((YEAR(O324)*1000+MONTH(O324))&gt;=P$9,IF((YEAR(O324)*1000+MONTH(O324))=P$9,ROUND(U324,0),ROUND(T324,0)),"")))</f>
        <v/>
      </c>
      <c r="X324" s="59" t="str">
        <f>IF(S$10="","",IF(P324&lt;=S$10,IF(P324=S$10,P$4-SUM(W$14:W323),W324),""))</f>
        <v/>
      </c>
    </row>
    <row r="325" spans="3:24" ht="15" hidden="1" customHeight="1" outlineLevel="1" x14ac:dyDescent="0.45">
      <c r="C325" s="124"/>
      <c r="D325" s="105"/>
      <c r="E325" s="131"/>
      <c r="F325" s="71"/>
      <c r="G325" s="78" t="str">
        <f t="shared" si="57"/>
        <v/>
      </c>
      <c r="H325" s="3">
        <f t="shared" si="58"/>
        <v>0</v>
      </c>
      <c r="I325" s="20" t="str">
        <f t="shared" si="59"/>
        <v/>
      </c>
      <c r="J325" s="94" t="str">
        <f t="shared" si="56"/>
        <v/>
      </c>
      <c r="K325" s="20" t="str">
        <f t="shared" si="60"/>
        <v/>
      </c>
      <c r="L325" s="94" t="str">
        <f t="shared" si="61"/>
        <v/>
      </c>
      <c r="M325" s="84" t="str">
        <f t="shared" si="62"/>
        <v/>
      </c>
      <c r="O325" s="36" t="str">
        <f t="shared" si="63"/>
        <v/>
      </c>
      <c r="P325" s="27" t="str">
        <f t="shared" si="64"/>
        <v/>
      </c>
      <c r="Q325" s="30" t="str">
        <f t="shared" si="65"/>
        <v/>
      </c>
      <c r="R325" s="19"/>
      <c r="S325" s="19" t="str">
        <f t="shared" si="66"/>
        <v/>
      </c>
      <c r="T325" s="19" t="str">
        <f t="shared" si="67"/>
        <v/>
      </c>
      <c r="U325" s="57" t="str">
        <f t="shared" si="68"/>
        <v/>
      </c>
      <c r="V325" s="57" t="str">
        <f t="shared" si="69"/>
        <v/>
      </c>
      <c r="W325" s="63" t="str">
        <f>IF(U325="","",IF(T326="",P$4-SUM(W$14:W324),IF((YEAR(O325)*1000+MONTH(O325))&gt;=P$9,IF((YEAR(O325)*1000+MONTH(O325))=P$9,ROUND(U325,0),ROUND(T325,0)),"")))</f>
        <v/>
      </c>
      <c r="X325" s="59" t="str">
        <f>IF(S$10="","",IF(P325&lt;=S$10,IF(P325=S$10,P$4-SUM(W$14:W324),W325),""))</f>
        <v/>
      </c>
    </row>
    <row r="326" spans="3:24" ht="15" hidden="1" customHeight="1" outlineLevel="1" x14ac:dyDescent="0.45">
      <c r="C326" s="124"/>
      <c r="D326" s="105"/>
      <c r="E326" s="131"/>
      <c r="F326" s="71"/>
      <c r="G326" s="78" t="str">
        <f t="shared" si="57"/>
        <v/>
      </c>
      <c r="H326" s="3">
        <f t="shared" si="58"/>
        <v>0</v>
      </c>
      <c r="I326" s="20" t="str">
        <f t="shared" si="59"/>
        <v/>
      </c>
      <c r="J326" s="94" t="str">
        <f t="shared" si="56"/>
        <v/>
      </c>
      <c r="K326" s="20" t="str">
        <f t="shared" si="60"/>
        <v/>
      </c>
      <c r="L326" s="94" t="str">
        <f t="shared" si="61"/>
        <v/>
      </c>
      <c r="M326" s="84" t="str">
        <f t="shared" si="62"/>
        <v/>
      </c>
      <c r="O326" s="36" t="str">
        <f t="shared" si="63"/>
        <v/>
      </c>
      <c r="P326" s="27" t="str">
        <f t="shared" si="64"/>
        <v/>
      </c>
      <c r="Q326" s="30" t="str">
        <f t="shared" si="65"/>
        <v/>
      </c>
      <c r="R326" s="19"/>
      <c r="S326" s="19" t="str">
        <f t="shared" si="66"/>
        <v/>
      </c>
      <c r="T326" s="19" t="str">
        <f t="shared" si="67"/>
        <v/>
      </c>
      <c r="U326" s="57" t="str">
        <f t="shared" si="68"/>
        <v/>
      </c>
      <c r="V326" s="57" t="str">
        <f t="shared" si="69"/>
        <v/>
      </c>
      <c r="W326" s="63" t="str">
        <f>IF(U326="","",IF(T327="",P$4-SUM(W$14:W325),IF((YEAR(O326)*1000+MONTH(O326))&gt;=P$9,IF((YEAR(O326)*1000+MONTH(O326))=P$9,ROUND(U326,0),ROUND(T326,0)),"")))</f>
        <v/>
      </c>
      <c r="X326" s="59" t="str">
        <f>IF(S$10="","",IF(P326&lt;=S$10,IF(P326=S$10,P$4-SUM(W$14:W325),W326),""))</f>
        <v/>
      </c>
    </row>
    <row r="327" spans="3:24" ht="15" hidden="1" customHeight="1" outlineLevel="1" x14ac:dyDescent="0.45">
      <c r="C327" s="124"/>
      <c r="D327" s="105"/>
      <c r="E327" s="131"/>
      <c r="F327" s="71"/>
      <c r="G327" s="78" t="str">
        <f t="shared" si="57"/>
        <v/>
      </c>
      <c r="H327" s="3">
        <f t="shared" si="58"/>
        <v>0</v>
      </c>
      <c r="I327" s="20" t="str">
        <f t="shared" si="59"/>
        <v/>
      </c>
      <c r="J327" s="94" t="str">
        <f t="shared" si="56"/>
        <v/>
      </c>
      <c r="K327" s="20" t="str">
        <f t="shared" si="60"/>
        <v/>
      </c>
      <c r="L327" s="94" t="str">
        <f t="shared" si="61"/>
        <v/>
      </c>
      <c r="M327" s="84" t="str">
        <f t="shared" si="62"/>
        <v/>
      </c>
      <c r="O327" s="36" t="str">
        <f t="shared" si="63"/>
        <v/>
      </c>
      <c r="P327" s="27" t="str">
        <f t="shared" si="64"/>
        <v/>
      </c>
      <c r="Q327" s="30" t="str">
        <f t="shared" si="65"/>
        <v/>
      </c>
      <c r="R327" s="19"/>
      <c r="S327" s="19" t="str">
        <f t="shared" si="66"/>
        <v/>
      </c>
      <c r="T327" s="19" t="str">
        <f t="shared" si="67"/>
        <v/>
      </c>
      <c r="U327" s="57" t="str">
        <f t="shared" si="68"/>
        <v/>
      </c>
      <c r="V327" s="57" t="str">
        <f t="shared" si="69"/>
        <v/>
      </c>
      <c r="W327" s="63" t="str">
        <f>IF(U327="","",IF(T328="",P$4-SUM(W$14:W326),IF((YEAR(O327)*1000+MONTH(O327))&gt;=P$9,IF((YEAR(O327)*1000+MONTH(O327))=P$9,ROUND(U327,0),ROUND(T327,0)),"")))</f>
        <v/>
      </c>
      <c r="X327" s="59" t="str">
        <f>IF(S$10="","",IF(P327&lt;=S$10,IF(P327=S$10,P$4-SUM(W$14:W326),W327),""))</f>
        <v/>
      </c>
    </row>
    <row r="328" spans="3:24" ht="15" hidden="1" customHeight="1" outlineLevel="1" x14ac:dyDescent="0.45">
      <c r="C328" s="124"/>
      <c r="D328" s="105"/>
      <c r="E328" s="131"/>
      <c r="F328" s="71"/>
      <c r="G328" s="78" t="str">
        <f t="shared" si="57"/>
        <v/>
      </c>
      <c r="H328" s="3">
        <f t="shared" si="58"/>
        <v>0</v>
      </c>
      <c r="I328" s="20" t="str">
        <f t="shared" si="59"/>
        <v/>
      </c>
      <c r="J328" s="94" t="str">
        <f t="shared" si="56"/>
        <v/>
      </c>
      <c r="K328" s="20" t="str">
        <f t="shared" si="60"/>
        <v/>
      </c>
      <c r="L328" s="94" t="str">
        <f t="shared" si="61"/>
        <v/>
      </c>
      <c r="M328" s="84" t="str">
        <f t="shared" si="62"/>
        <v/>
      </c>
      <c r="O328" s="36" t="str">
        <f t="shared" si="63"/>
        <v/>
      </c>
      <c r="P328" s="27" t="str">
        <f t="shared" si="64"/>
        <v/>
      </c>
      <c r="Q328" s="30" t="str">
        <f t="shared" si="65"/>
        <v/>
      </c>
      <c r="R328" s="19"/>
      <c r="S328" s="19" t="str">
        <f t="shared" si="66"/>
        <v/>
      </c>
      <c r="T328" s="19" t="str">
        <f t="shared" si="67"/>
        <v/>
      </c>
      <c r="U328" s="57" t="str">
        <f t="shared" si="68"/>
        <v/>
      </c>
      <c r="V328" s="57" t="str">
        <f t="shared" si="69"/>
        <v/>
      </c>
      <c r="W328" s="63" t="str">
        <f>IF(U328="","",IF(T329="",P$4-SUM(W$14:W327),IF((YEAR(O328)*1000+MONTH(O328))&gt;=P$9,IF((YEAR(O328)*1000+MONTH(O328))=P$9,ROUND(U328,0),ROUND(T328,0)),"")))</f>
        <v/>
      </c>
      <c r="X328" s="59" t="str">
        <f>IF(S$10="","",IF(P328&lt;=S$10,IF(P328=S$10,P$4-SUM(W$14:W327),W328),""))</f>
        <v/>
      </c>
    </row>
    <row r="329" spans="3:24" ht="15" hidden="1" customHeight="1" outlineLevel="1" x14ac:dyDescent="0.45">
      <c r="C329" s="124"/>
      <c r="D329" s="105"/>
      <c r="E329" s="131"/>
      <c r="F329" s="71"/>
      <c r="G329" s="78" t="str">
        <f t="shared" si="57"/>
        <v/>
      </c>
      <c r="H329" s="3">
        <f t="shared" si="58"/>
        <v>0</v>
      </c>
      <c r="I329" s="20" t="str">
        <f t="shared" si="59"/>
        <v/>
      </c>
      <c r="J329" s="94" t="str">
        <f t="shared" si="56"/>
        <v/>
      </c>
      <c r="K329" s="20" t="str">
        <f t="shared" si="60"/>
        <v/>
      </c>
      <c r="L329" s="94" t="str">
        <f t="shared" si="61"/>
        <v/>
      </c>
      <c r="M329" s="84" t="str">
        <f t="shared" si="62"/>
        <v/>
      </c>
      <c r="O329" s="36" t="str">
        <f t="shared" si="63"/>
        <v/>
      </c>
      <c r="P329" s="27" t="str">
        <f t="shared" si="64"/>
        <v/>
      </c>
      <c r="Q329" s="30" t="str">
        <f t="shared" si="65"/>
        <v/>
      </c>
      <c r="R329" s="19"/>
      <c r="S329" s="19" t="str">
        <f t="shared" si="66"/>
        <v/>
      </c>
      <c r="T329" s="19" t="str">
        <f t="shared" si="67"/>
        <v/>
      </c>
      <c r="U329" s="57" t="str">
        <f t="shared" si="68"/>
        <v/>
      </c>
      <c r="V329" s="57" t="str">
        <f t="shared" si="69"/>
        <v/>
      </c>
      <c r="W329" s="63" t="str">
        <f>IF(U329="","",IF(T330="",P$4-SUM(W$14:W328),IF((YEAR(O329)*1000+MONTH(O329))&gt;=P$9,IF((YEAR(O329)*1000+MONTH(O329))=P$9,ROUND(U329,0),ROUND(T329,0)),"")))</f>
        <v/>
      </c>
      <c r="X329" s="59" t="str">
        <f>IF(S$10="","",IF(P329&lt;=S$10,IF(P329=S$10,P$4-SUM(W$14:W328),W329),""))</f>
        <v/>
      </c>
    </row>
    <row r="330" spans="3:24" ht="15" hidden="1" customHeight="1" outlineLevel="1" x14ac:dyDescent="0.45">
      <c r="C330" s="124"/>
      <c r="D330" s="105"/>
      <c r="E330" s="131"/>
      <c r="F330" s="71"/>
      <c r="G330" s="78" t="str">
        <f t="shared" si="57"/>
        <v/>
      </c>
      <c r="H330" s="3">
        <f t="shared" si="58"/>
        <v>0</v>
      </c>
      <c r="I330" s="20" t="str">
        <f t="shared" si="59"/>
        <v/>
      </c>
      <c r="J330" s="94" t="str">
        <f t="shared" si="56"/>
        <v/>
      </c>
      <c r="K330" s="20" t="str">
        <f t="shared" si="60"/>
        <v/>
      </c>
      <c r="L330" s="94" t="str">
        <f t="shared" si="61"/>
        <v/>
      </c>
      <c r="M330" s="84" t="str">
        <f t="shared" si="62"/>
        <v/>
      </c>
      <c r="O330" s="36" t="str">
        <f t="shared" si="63"/>
        <v/>
      </c>
      <c r="P330" s="27" t="str">
        <f t="shared" si="64"/>
        <v/>
      </c>
      <c r="Q330" s="30" t="str">
        <f t="shared" si="65"/>
        <v/>
      </c>
      <c r="R330" s="19"/>
      <c r="S330" s="19" t="str">
        <f t="shared" si="66"/>
        <v/>
      </c>
      <c r="T330" s="19" t="str">
        <f t="shared" si="67"/>
        <v/>
      </c>
      <c r="U330" s="57" t="str">
        <f t="shared" si="68"/>
        <v/>
      </c>
      <c r="V330" s="57" t="str">
        <f t="shared" si="69"/>
        <v/>
      </c>
      <c r="W330" s="63" t="str">
        <f>IF(U330="","",IF(T331="",P$4-SUM(W$14:W329),IF((YEAR(O330)*1000+MONTH(O330))&gt;=P$9,IF((YEAR(O330)*1000+MONTH(O330))=P$9,ROUND(U330,0),ROUND(T330,0)),"")))</f>
        <v/>
      </c>
      <c r="X330" s="59" t="str">
        <f>IF(S$10="","",IF(P330&lt;=S$10,IF(P330=S$10,P$4-SUM(W$14:W329),W330),""))</f>
        <v/>
      </c>
    </row>
    <row r="331" spans="3:24" ht="15" hidden="1" customHeight="1" outlineLevel="1" x14ac:dyDescent="0.45">
      <c r="C331" s="124"/>
      <c r="D331" s="105"/>
      <c r="E331" s="131"/>
      <c r="F331" s="71"/>
      <c r="G331" s="78" t="str">
        <f t="shared" si="57"/>
        <v/>
      </c>
      <c r="H331" s="3">
        <f t="shared" si="58"/>
        <v>0</v>
      </c>
      <c r="I331" s="20" t="str">
        <f t="shared" si="59"/>
        <v/>
      </c>
      <c r="J331" s="94" t="str">
        <f t="shared" si="56"/>
        <v/>
      </c>
      <c r="K331" s="20" t="str">
        <f t="shared" si="60"/>
        <v/>
      </c>
      <c r="L331" s="94" t="str">
        <f t="shared" si="61"/>
        <v/>
      </c>
      <c r="M331" s="84" t="str">
        <f t="shared" si="62"/>
        <v/>
      </c>
      <c r="O331" s="36" t="str">
        <f t="shared" si="63"/>
        <v/>
      </c>
      <c r="P331" s="27" t="str">
        <f t="shared" si="64"/>
        <v/>
      </c>
      <c r="Q331" s="30" t="str">
        <f t="shared" si="65"/>
        <v/>
      </c>
      <c r="R331" s="19"/>
      <c r="S331" s="19" t="str">
        <f t="shared" si="66"/>
        <v/>
      </c>
      <c r="T331" s="19" t="str">
        <f t="shared" si="67"/>
        <v/>
      </c>
      <c r="U331" s="57" t="str">
        <f t="shared" si="68"/>
        <v/>
      </c>
      <c r="V331" s="57" t="str">
        <f t="shared" si="69"/>
        <v/>
      </c>
      <c r="W331" s="63" t="str">
        <f>IF(U331="","",IF(T332="",P$4-SUM(W$14:W330),IF((YEAR(O331)*1000+MONTH(O331))&gt;=P$9,IF((YEAR(O331)*1000+MONTH(O331))=P$9,ROUND(U331,0),ROUND(T331,0)),"")))</f>
        <v/>
      </c>
      <c r="X331" s="59" t="str">
        <f>IF(S$10="","",IF(P331&lt;=S$10,IF(P331=S$10,P$4-SUM(W$14:W330),W331),""))</f>
        <v/>
      </c>
    </row>
    <row r="332" spans="3:24" ht="15" hidden="1" customHeight="1" outlineLevel="1" x14ac:dyDescent="0.45">
      <c r="C332" s="124"/>
      <c r="D332" s="105"/>
      <c r="E332" s="131"/>
      <c r="F332" s="71"/>
      <c r="G332" s="78" t="str">
        <f t="shared" si="57"/>
        <v/>
      </c>
      <c r="H332" s="3">
        <f t="shared" si="58"/>
        <v>0</v>
      </c>
      <c r="I332" s="20" t="str">
        <f t="shared" si="59"/>
        <v/>
      </c>
      <c r="J332" s="94" t="str">
        <f t="shared" si="56"/>
        <v/>
      </c>
      <c r="K332" s="20" t="str">
        <f t="shared" si="60"/>
        <v/>
      </c>
      <c r="L332" s="94" t="str">
        <f t="shared" si="61"/>
        <v/>
      </c>
      <c r="M332" s="84" t="str">
        <f t="shared" si="62"/>
        <v/>
      </c>
      <c r="O332" s="36" t="str">
        <f t="shared" si="63"/>
        <v/>
      </c>
      <c r="P332" s="27" t="str">
        <f t="shared" si="64"/>
        <v/>
      </c>
      <c r="Q332" s="30" t="str">
        <f t="shared" si="65"/>
        <v/>
      </c>
      <c r="R332" s="19"/>
      <c r="S332" s="19" t="str">
        <f t="shared" si="66"/>
        <v/>
      </c>
      <c r="T332" s="19" t="str">
        <f t="shared" si="67"/>
        <v/>
      </c>
      <c r="U332" s="57" t="str">
        <f t="shared" si="68"/>
        <v/>
      </c>
      <c r="V332" s="57" t="str">
        <f t="shared" si="69"/>
        <v/>
      </c>
      <c r="W332" s="63" t="str">
        <f>IF(U332="","",IF(T333="",P$4-SUM(W$14:W331),IF((YEAR(O332)*1000+MONTH(O332))&gt;=P$9,IF((YEAR(O332)*1000+MONTH(O332))=P$9,ROUND(U332,0),ROUND(T332,0)),"")))</f>
        <v/>
      </c>
      <c r="X332" s="59" t="str">
        <f>IF(S$10="","",IF(P332&lt;=S$10,IF(P332=S$10,P$4-SUM(W$14:W331),W332),""))</f>
        <v/>
      </c>
    </row>
    <row r="333" spans="3:24" ht="15" hidden="1" customHeight="1" outlineLevel="1" x14ac:dyDescent="0.45">
      <c r="C333" s="124"/>
      <c r="D333" s="105"/>
      <c r="E333" s="131"/>
      <c r="F333" s="71"/>
      <c r="G333" s="78" t="str">
        <f t="shared" si="57"/>
        <v/>
      </c>
      <c r="H333" s="3">
        <f t="shared" si="58"/>
        <v>0</v>
      </c>
      <c r="I333" s="20" t="str">
        <f t="shared" si="59"/>
        <v/>
      </c>
      <c r="J333" s="94" t="str">
        <f t="shared" si="56"/>
        <v/>
      </c>
      <c r="K333" s="20" t="str">
        <f t="shared" si="60"/>
        <v/>
      </c>
      <c r="L333" s="94" t="str">
        <f t="shared" si="61"/>
        <v/>
      </c>
      <c r="M333" s="84" t="str">
        <f t="shared" si="62"/>
        <v/>
      </c>
      <c r="O333" s="36" t="str">
        <f t="shared" si="63"/>
        <v/>
      </c>
      <c r="P333" s="27" t="str">
        <f t="shared" si="64"/>
        <v/>
      </c>
      <c r="Q333" s="30" t="str">
        <f t="shared" si="65"/>
        <v/>
      </c>
      <c r="R333" s="19"/>
      <c r="S333" s="19" t="str">
        <f t="shared" si="66"/>
        <v/>
      </c>
      <c r="T333" s="19" t="str">
        <f t="shared" si="67"/>
        <v/>
      </c>
      <c r="U333" s="57" t="str">
        <f t="shared" si="68"/>
        <v/>
      </c>
      <c r="V333" s="57" t="str">
        <f t="shared" si="69"/>
        <v/>
      </c>
      <c r="W333" s="63" t="str">
        <f>IF(U333="","",IF(T334="",P$4-SUM(W$14:W332),IF((YEAR(O333)*1000+MONTH(O333))&gt;=P$9,IF((YEAR(O333)*1000+MONTH(O333))=P$9,ROUND(U333,0),ROUND(T333,0)),"")))</f>
        <v/>
      </c>
      <c r="X333" s="59" t="str">
        <f>IF(S$10="","",IF(P333&lt;=S$10,IF(P333=S$10,P$4-SUM(W$14:W332),W333),""))</f>
        <v/>
      </c>
    </row>
    <row r="334" spans="3:24" ht="15" hidden="1" customHeight="1" outlineLevel="1" x14ac:dyDescent="0.45">
      <c r="C334" s="124"/>
      <c r="D334" s="105"/>
      <c r="E334" s="131"/>
      <c r="F334" s="71"/>
      <c r="G334" s="78" t="str">
        <f t="shared" si="57"/>
        <v/>
      </c>
      <c r="H334" s="3">
        <f t="shared" si="58"/>
        <v>0</v>
      </c>
      <c r="I334" s="20" t="str">
        <f t="shared" si="59"/>
        <v/>
      </c>
      <c r="J334" s="94" t="str">
        <f t="shared" si="56"/>
        <v/>
      </c>
      <c r="K334" s="20" t="str">
        <f t="shared" si="60"/>
        <v/>
      </c>
      <c r="L334" s="94" t="str">
        <f t="shared" si="61"/>
        <v/>
      </c>
      <c r="M334" s="84" t="str">
        <f t="shared" si="62"/>
        <v/>
      </c>
      <c r="O334" s="36" t="str">
        <f t="shared" si="63"/>
        <v/>
      </c>
      <c r="P334" s="27" t="str">
        <f t="shared" si="64"/>
        <v/>
      </c>
      <c r="Q334" s="30" t="str">
        <f t="shared" si="65"/>
        <v/>
      </c>
      <c r="R334" s="19"/>
      <c r="S334" s="19" t="str">
        <f t="shared" si="66"/>
        <v/>
      </c>
      <c r="T334" s="19" t="str">
        <f t="shared" si="67"/>
        <v/>
      </c>
      <c r="U334" s="57" t="str">
        <f t="shared" si="68"/>
        <v/>
      </c>
      <c r="V334" s="57" t="str">
        <f t="shared" si="69"/>
        <v/>
      </c>
      <c r="W334" s="63" t="str">
        <f>IF(U334="","",IF(T335="",P$4-SUM(W$14:W333),IF((YEAR(O334)*1000+MONTH(O334))&gt;=P$9,IF((YEAR(O334)*1000+MONTH(O334))=P$9,ROUND(U334,0),ROUND(T334,0)),"")))</f>
        <v/>
      </c>
      <c r="X334" s="59" t="str">
        <f>IF(S$10="","",IF(P334&lt;=S$10,IF(P334=S$10,P$4-SUM(W$14:W333),W334),""))</f>
        <v/>
      </c>
    </row>
    <row r="335" spans="3:24" ht="15" hidden="1" customHeight="1" outlineLevel="1" x14ac:dyDescent="0.45">
      <c r="C335" s="124"/>
      <c r="D335" s="105"/>
      <c r="E335" s="131"/>
      <c r="F335" s="71"/>
      <c r="G335" s="78" t="str">
        <f t="shared" si="57"/>
        <v/>
      </c>
      <c r="H335" s="3">
        <f t="shared" si="58"/>
        <v>0</v>
      </c>
      <c r="I335" s="20" t="str">
        <f t="shared" si="59"/>
        <v/>
      </c>
      <c r="J335" s="94" t="str">
        <f t="shared" si="56"/>
        <v/>
      </c>
      <c r="K335" s="20" t="str">
        <f t="shared" si="60"/>
        <v/>
      </c>
      <c r="L335" s="94" t="str">
        <f t="shared" si="61"/>
        <v/>
      </c>
      <c r="M335" s="84" t="str">
        <f t="shared" si="62"/>
        <v/>
      </c>
      <c r="O335" s="36" t="str">
        <f t="shared" si="63"/>
        <v/>
      </c>
      <c r="P335" s="27" t="str">
        <f t="shared" si="64"/>
        <v/>
      </c>
      <c r="Q335" s="30" t="str">
        <f t="shared" si="65"/>
        <v/>
      </c>
      <c r="R335" s="19"/>
      <c r="S335" s="19" t="str">
        <f t="shared" si="66"/>
        <v/>
      </c>
      <c r="T335" s="19" t="str">
        <f t="shared" si="67"/>
        <v/>
      </c>
      <c r="U335" s="57" t="str">
        <f t="shared" si="68"/>
        <v/>
      </c>
      <c r="V335" s="57" t="str">
        <f t="shared" si="69"/>
        <v/>
      </c>
      <c r="W335" s="63" t="str">
        <f>IF(U335="","",IF(T336="",P$4-SUM(W$14:W334),IF((YEAR(O335)*1000+MONTH(O335))&gt;=P$9,IF((YEAR(O335)*1000+MONTH(O335))=P$9,ROUND(U335,0),ROUND(T335,0)),"")))</f>
        <v/>
      </c>
      <c r="X335" s="59" t="str">
        <f>IF(S$10="","",IF(P335&lt;=S$10,IF(P335=S$10,P$4-SUM(W$14:W334),W335),""))</f>
        <v/>
      </c>
    </row>
    <row r="336" spans="3:24" ht="15" hidden="1" customHeight="1" outlineLevel="1" x14ac:dyDescent="0.45">
      <c r="C336" s="124"/>
      <c r="D336" s="105"/>
      <c r="E336" s="131"/>
      <c r="F336" s="71"/>
      <c r="G336" s="78" t="str">
        <f t="shared" si="57"/>
        <v/>
      </c>
      <c r="H336" s="3">
        <f t="shared" si="58"/>
        <v>0</v>
      </c>
      <c r="I336" s="20" t="str">
        <f t="shared" si="59"/>
        <v/>
      </c>
      <c r="J336" s="94" t="str">
        <f t="shared" ref="J336:J374" si="70">IF(F336="","",-F336)</f>
        <v/>
      </c>
      <c r="K336" s="20" t="str">
        <f t="shared" si="60"/>
        <v/>
      </c>
      <c r="L336" s="94" t="str">
        <f t="shared" si="61"/>
        <v/>
      </c>
      <c r="M336" s="84" t="str">
        <f t="shared" si="62"/>
        <v/>
      </c>
      <c r="O336" s="36" t="str">
        <f t="shared" si="63"/>
        <v/>
      </c>
      <c r="P336" s="27" t="str">
        <f t="shared" si="64"/>
        <v/>
      </c>
      <c r="Q336" s="30" t="str">
        <f t="shared" si="65"/>
        <v/>
      </c>
      <c r="R336" s="19"/>
      <c r="S336" s="19" t="str">
        <f t="shared" si="66"/>
        <v/>
      </c>
      <c r="T336" s="19" t="str">
        <f t="shared" si="67"/>
        <v/>
      </c>
      <c r="U336" s="57" t="str">
        <f t="shared" si="68"/>
        <v/>
      </c>
      <c r="V336" s="57" t="str">
        <f t="shared" si="69"/>
        <v/>
      </c>
      <c r="W336" s="63" t="str">
        <f>IF(U336="","",IF(T337="",P$4-SUM(W$14:W335),IF((YEAR(O336)*1000+MONTH(O336))&gt;=P$9,IF((YEAR(O336)*1000+MONTH(O336))=P$9,ROUND(U336,0),ROUND(T336,0)),"")))</f>
        <v/>
      </c>
      <c r="X336" s="59" t="str">
        <f>IF(S$10="","",IF(P336&lt;=S$10,IF(P336=S$10,P$4-SUM(W$14:W335),W336),""))</f>
        <v/>
      </c>
    </row>
    <row r="337" spans="3:24" ht="15" hidden="1" customHeight="1" outlineLevel="1" x14ac:dyDescent="0.45">
      <c r="C337" s="124"/>
      <c r="D337" s="105"/>
      <c r="E337" s="131"/>
      <c r="F337" s="71"/>
      <c r="G337" s="78" t="str">
        <f t="shared" ref="G337:G374" si="71">IF(D337&lt;0,-D337-F337,IF(F337="","",-F337))</f>
        <v/>
      </c>
      <c r="H337" s="3">
        <f t="shared" ref="H337:H374" si="72">IF(D337&gt;0,D337,0)</f>
        <v>0</v>
      </c>
      <c r="I337" s="20" t="str">
        <f t="shared" ref="I337:I374" si="73">IF(D337="","",-D337)</f>
        <v/>
      </c>
      <c r="J337" s="94" t="str">
        <f t="shared" si="70"/>
        <v/>
      </c>
      <c r="K337" s="20" t="str">
        <f t="shared" ref="K337:K374" si="74">IF(AND(I337&gt;0,I337&lt;&gt;""),-I337-J337,IF(J337="","",-J337))</f>
        <v/>
      </c>
      <c r="L337" s="94" t="str">
        <f t="shared" ref="L337:L374" si="75">IF(C337="","",+C337)</f>
        <v/>
      </c>
      <c r="M337" s="84" t="str">
        <f t="shared" ref="M337:M374" si="76">IF(L337="","",-L337)</f>
        <v/>
      </c>
      <c r="O337" s="36" t="str">
        <f t="shared" ref="O337:O374" si="77">IF(O336="","",IF(EOMONTH(O336,0)+1&gt;P$8,"",EOMONTH(O336,0)+1))</f>
        <v/>
      </c>
      <c r="P337" s="27" t="str">
        <f t="shared" ref="P337:P374" si="78">IF(O337="","",IF(O337&lt;=P$8,IF((YEAR(O337)*1000+MONTH(O337))&lt;P$9,P$9,(YEAR(O337)*1000+MONTH(O337))),""))</f>
        <v/>
      </c>
      <c r="Q337" s="30" t="str">
        <f t="shared" ref="Q337:Q373" si="79">IF(P337&lt;&gt;"",IF(EOMONTH(O337,0)&lt;&gt;EOMONTH(P$8,0),DAY(EOMONTH(O337,0)-DAY(O337)+1)/DAY(EOMONTH(O337,0)),IF(DAY(EOMONTH(P$7,0))-DAY(P$7)+1+DAY(P$8)=DAY(EOMONTH(P$7,0)),1-Q$15,DAY(P$8)/DAY(EOMONTH(P$8,0)))),"")</f>
        <v/>
      </c>
      <c r="R337" s="19"/>
      <c r="S337" s="19" t="str">
        <f t="shared" ref="S337:S373" si="80">IF(O337="","",IF(P337&lt;=S$10,IF(P337=S$10,R$15,-R337),""))</f>
        <v/>
      </c>
      <c r="T337" s="19" t="str">
        <f t="shared" ref="T337:T374" si="81">IF(P337="","",IF(ISERROR(S$11*Q337),0,(S$11)*Q337))</f>
        <v/>
      </c>
      <c r="U337" s="57" t="str">
        <f t="shared" ref="U337:U374" si="82">IF(Q337="","",IF(Q337&gt;0,T337+U336,-U336))</f>
        <v/>
      </c>
      <c r="V337" s="57" t="str">
        <f t="shared" ref="V337:V374" si="83">IF(S337="","",IF(P337&lt;S$10,T337+U336,-V336))</f>
        <v/>
      </c>
      <c r="W337" s="63" t="str">
        <f>IF(U337="","",IF(T338="",P$4-SUM(W$14:W336),IF((YEAR(O337)*1000+MONTH(O337))&gt;=P$9,IF((YEAR(O337)*1000+MONTH(O337))=P$9,ROUND(U337,0),ROUND(T337,0)),"")))</f>
        <v/>
      </c>
      <c r="X337" s="59" t="str">
        <f>IF(S$10="","",IF(P337&lt;=S$10,IF(P337=S$10,P$4-SUM(W$14:W336),W337),""))</f>
        <v/>
      </c>
    </row>
    <row r="338" spans="3:24" ht="15" hidden="1" customHeight="1" outlineLevel="1" x14ac:dyDescent="0.45">
      <c r="C338" s="124"/>
      <c r="D338" s="105"/>
      <c r="E338" s="131"/>
      <c r="F338" s="71"/>
      <c r="G338" s="78" t="str">
        <f t="shared" si="71"/>
        <v/>
      </c>
      <c r="H338" s="3">
        <f t="shared" si="72"/>
        <v>0</v>
      </c>
      <c r="I338" s="20" t="str">
        <f t="shared" si="73"/>
        <v/>
      </c>
      <c r="J338" s="94" t="str">
        <f t="shared" si="70"/>
        <v/>
      </c>
      <c r="K338" s="20" t="str">
        <f t="shared" si="74"/>
        <v/>
      </c>
      <c r="L338" s="94" t="str">
        <f t="shared" si="75"/>
        <v/>
      </c>
      <c r="M338" s="84" t="str">
        <f t="shared" si="76"/>
        <v/>
      </c>
      <c r="O338" s="36" t="str">
        <f t="shared" si="77"/>
        <v/>
      </c>
      <c r="P338" s="27" t="str">
        <f t="shared" si="78"/>
        <v/>
      </c>
      <c r="Q338" s="30" t="str">
        <f t="shared" si="79"/>
        <v/>
      </c>
      <c r="R338" s="19"/>
      <c r="S338" s="19" t="str">
        <f t="shared" si="80"/>
        <v/>
      </c>
      <c r="T338" s="19" t="str">
        <f t="shared" si="81"/>
        <v/>
      </c>
      <c r="U338" s="57" t="str">
        <f t="shared" si="82"/>
        <v/>
      </c>
      <c r="V338" s="57" t="str">
        <f t="shared" si="83"/>
        <v/>
      </c>
      <c r="W338" s="63" t="str">
        <f>IF(U338="","",IF(T339="",P$4-SUM(W$14:W337),IF((YEAR(O338)*1000+MONTH(O338))&gt;=P$9,IF((YEAR(O338)*1000+MONTH(O338))=P$9,ROUND(U338,0),ROUND(T338,0)),"")))</f>
        <v/>
      </c>
      <c r="X338" s="59" t="str">
        <f>IF(S$10="","",IF(P338&lt;=S$10,IF(P338=S$10,P$4-SUM(W$14:W337),W338),""))</f>
        <v/>
      </c>
    </row>
    <row r="339" spans="3:24" ht="15" hidden="1" customHeight="1" outlineLevel="1" x14ac:dyDescent="0.45">
      <c r="C339" s="124"/>
      <c r="D339" s="105"/>
      <c r="E339" s="131"/>
      <c r="F339" s="71"/>
      <c r="G339" s="78" t="str">
        <f t="shared" si="71"/>
        <v/>
      </c>
      <c r="H339" s="3">
        <f t="shared" si="72"/>
        <v>0</v>
      </c>
      <c r="I339" s="20" t="str">
        <f t="shared" si="73"/>
        <v/>
      </c>
      <c r="J339" s="94" t="str">
        <f t="shared" si="70"/>
        <v/>
      </c>
      <c r="K339" s="20" t="str">
        <f t="shared" si="74"/>
        <v/>
      </c>
      <c r="L339" s="94" t="str">
        <f t="shared" si="75"/>
        <v/>
      </c>
      <c r="M339" s="84" t="str">
        <f t="shared" si="76"/>
        <v/>
      </c>
      <c r="O339" s="36" t="str">
        <f t="shared" si="77"/>
        <v/>
      </c>
      <c r="P339" s="27" t="str">
        <f t="shared" si="78"/>
        <v/>
      </c>
      <c r="Q339" s="30" t="str">
        <f t="shared" si="79"/>
        <v/>
      </c>
      <c r="R339" s="19"/>
      <c r="S339" s="19" t="str">
        <f t="shared" si="80"/>
        <v/>
      </c>
      <c r="T339" s="19" t="str">
        <f t="shared" si="81"/>
        <v/>
      </c>
      <c r="U339" s="57" t="str">
        <f t="shared" si="82"/>
        <v/>
      </c>
      <c r="V339" s="57" t="str">
        <f t="shared" si="83"/>
        <v/>
      </c>
      <c r="W339" s="63" t="str">
        <f>IF(U339="","",IF(T340="",P$4-SUM(W$14:W338),IF((YEAR(O339)*1000+MONTH(O339))&gt;=P$9,IF((YEAR(O339)*1000+MONTH(O339))=P$9,ROUND(U339,0),ROUND(T339,0)),"")))</f>
        <v/>
      </c>
      <c r="X339" s="59" t="str">
        <f>IF(S$10="","",IF(P339&lt;=S$10,IF(P339=S$10,P$4-SUM(W$14:W338),W339),""))</f>
        <v/>
      </c>
    </row>
    <row r="340" spans="3:24" ht="15" hidden="1" customHeight="1" outlineLevel="1" x14ac:dyDescent="0.45">
      <c r="C340" s="124"/>
      <c r="D340" s="105"/>
      <c r="E340" s="131"/>
      <c r="F340" s="71"/>
      <c r="G340" s="78" t="str">
        <f t="shared" si="71"/>
        <v/>
      </c>
      <c r="H340" s="3">
        <f t="shared" si="72"/>
        <v>0</v>
      </c>
      <c r="I340" s="20" t="str">
        <f t="shared" si="73"/>
        <v/>
      </c>
      <c r="J340" s="94" t="str">
        <f t="shared" si="70"/>
        <v/>
      </c>
      <c r="K340" s="20" t="str">
        <f t="shared" si="74"/>
        <v/>
      </c>
      <c r="L340" s="94" t="str">
        <f t="shared" si="75"/>
        <v/>
      </c>
      <c r="M340" s="84" t="str">
        <f t="shared" si="76"/>
        <v/>
      </c>
      <c r="O340" s="36" t="str">
        <f t="shared" si="77"/>
        <v/>
      </c>
      <c r="P340" s="27" t="str">
        <f t="shared" si="78"/>
        <v/>
      </c>
      <c r="Q340" s="30" t="str">
        <f t="shared" si="79"/>
        <v/>
      </c>
      <c r="R340" s="19"/>
      <c r="S340" s="19" t="str">
        <f t="shared" si="80"/>
        <v/>
      </c>
      <c r="T340" s="19" t="str">
        <f t="shared" si="81"/>
        <v/>
      </c>
      <c r="U340" s="57" t="str">
        <f t="shared" si="82"/>
        <v/>
      </c>
      <c r="V340" s="57" t="str">
        <f t="shared" si="83"/>
        <v/>
      </c>
      <c r="W340" s="63" t="str">
        <f>IF(U340="","",IF(T341="",P$4-SUM(W$14:W339),IF((YEAR(O340)*1000+MONTH(O340))&gt;=P$9,IF((YEAR(O340)*1000+MONTH(O340))=P$9,ROUND(U340,0),ROUND(T340,0)),"")))</f>
        <v/>
      </c>
      <c r="X340" s="59" t="str">
        <f>IF(S$10="","",IF(P340&lt;=S$10,IF(P340=S$10,P$4-SUM(W$14:W339),W340),""))</f>
        <v/>
      </c>
    </row>
    <row r="341" spans="3:24" ht="15" hidden="1" customHeight="1" outlineLevel="1" x14ac:dyDescent="0.45">
      <c r="C341" s="124"/>
      <c r="D341" s="105"/>
      <c r="E341" s="131"/>
      <c r="F341" s="71"/>
      <c r="G341" s="78" t="str">
        <f t="shared" si="71"/>
        <v/>
      </c>
      <c r="H341" s="3">
        <f t="shared" si="72"/>
        <v>0</v>
      </c>
      <c r="I341" s="20" t="str">
        <f t="shared" si="73"/>
        <v/>
      </c>
      <c r="J341" s="94" t="str">
        <f t="shared" si="70"/>
        <v/>
      </c>
      <c r="K341" s="20" t="str">
        <f t="shared" si="74"/>
        <v/>
      </c>
      <c r="L341" s="94" t="str">
        <f t="shared" si="75"/>
        <v/>
      </c>
      <c r="M341" s="84" t="str">
        <f t="shared" si="76"/>
        <v/>
      </c>
      <c r="O341" s="36" t="str">
        <f t="shared" si="77"/>
        <v/>
      </c>
      <c r="P341" s="27" t="str">
        <f t="shared" si="78"/>
        <v/>
      </c>
      <c r="Q341" s="30" t="str">
        <f t="shared" si="79"/>
        <v/>
      </c>
      <c r="R341" s="19"/>
      <c r="S341" s="19" t="str">
        <f t="shared" si="80"/>
        <v/>
      </c>
      <c r="T341" s="19" t="str">
        <f t="shared" si="81"/>
        <v/>
      </c>
      <c r="U341" s="57" t="str">
        <f t="shared" si="82"/>
        <v/>
      </c>
      <c r="V341" s="57" t="str">
        <f t="shared" si="83"/>
        <v/>
      </c>
      <c r="W341" s="63" t="str">
        <f>IF(U341="","",IF(T342="",P$4-SUM(W$14:W340),IF((YEAR(O341)*1000+MONTH(O341))&gt;=P$9,IF((YEAR(O341)*1000+MONTH(O341))=P$9,ROUND(U341,0),ROUND(T341,0)),"")))</f>
        <v/>
      </c>
      <c r="X341" s="59" t="str">
        <f>IF(S$10="","",IF(P341&lt;=S$10,IF(P341=S$10,P$4-SUM(W$14:W340),W341),""))</f>
        <v/>
      </c>
    </row>
    <row r="342" spans="3:24" ht="15" hidden="1" customHeight="1" outlineLevel="1" x14ac:dyDescent="0.45">
      <c r="C342" s="124"/>
      <c r="D342" s="105"/>
      <c r="E342" s="131"/>
      <c r="F342" s="71"/>
      <c r="G342" s="78" t="str">
        <f t="shared" si="71"/>
        <v/>
      </c>
      <c r="H342" s="3">
        <f t="shared" si="72"/>
        <v>0</v>
      </c>
      <c r="I342" s="20" t="str">
        <f t="shared" si="73"/>
        <v/>
      </c>
      <c r="J342" s="94" t="str">
        <f t="shared" si="70"/>
        <v/>
      </c>
      <c r="K342" s="20" t="str">
        <f t="shared" si="74"/>
        <v/>
      </c>
      <c r="L342" s="94" t="str">
        <f t="shared" si="75"/>
        <v/>
      </c>
      <c r="M342" s="84" t="str">
        <f t="shared" si="76"/>
        <v/>
      </c>
      <c r="O342" s="36" t="str">
        <f t="shared" si="77"/>
        <v/>
      </c>
      <c r="P342" s="27" t="str">
        <f t="shared" si="78"/>
        <v/>
      </c>
      <c r="Q342" s="30" t="str">
        <f t="shared" si="79"/>
        <v/>
      </c>
      <c r="R342" s="19"/>
      <c r="S342" s="19" t="str">
        <f t="shared" si="80"/>
        <v/>
      </c>
      <c r="T342" s="19" t="str">
        <f t="shared" si="81"/>
        <v/>
      </c>
      <c r="U342" s="57" t="str">
        <f t="shared" si="82"/>
        <v/>
      </c>
      <c r="V342" s="57" t="str">
        <f t="shared" si="83"/>
        <v/>
      </c>
      <c r="W342" s="63" t="str">
        <f>IF(U342="","",IF(T343="",P$4-SUM(W$14:W341),IF((YEAR(O342)*1000+MONTH(O342))&gt;=P$9,IF((YEAR(O342)*1000+MONTH(O342))=P$9,ROUND(U342,0),ROUND(T342,0)),"")))</f>
        <v/>
      </c>
      <c r="X342" s="59" t="str">
        <f>IF(S$10="","",IF(P342&lt;=S$10,IF(P342=S$10,P$4-SUM(W$14:W341),W342),""))</f>
        <v/>
      </c>
    </row>
    <row r="343" spans="3:24" ht="15" hidden="1" customHeight="1" outlineLevel="1" x14ac:dyDescent="0.45">
      <c r="C343" s="124"/>
      <c r="D343" s="105"/>
      <c r="E343" s="131"/>
      <c r="F343" s="71"/>
      <c r="G343" s="78" t="str">
        <f t="shared" si="71"/>
        <v/>
      </c>
      <c r="H343" s="3">
        <f t="shared" si="72"/>
        <v>0</v>
      </c>
      <c r="I343" s="20" t="str">
        <f t="shared" si="73"/>
        <v/>
      </c>
      <c r="J343" s="94" t="str">
        <f t="shared" si="70"/>
        <v/>
      </c>
      <c r="K343" s="20" t="str">
        <f t="shared" si="74"/>
        <v/>
      </c>
      <c r="L343" s="94" t="str">
        <f t="shared" si="75"/>
        <v/>
      </c>
      <c r="M343" s="84" t="str">
        <f t="shared" si="76"/>
        <v/>
      </c>
      <c r="O343" s="36" t="str">
        <f t="shared" si="77"/>
        <v/>
      </c>
      <c r="P343" s="27" t="str">
        <f t="shared" si="78"/>
        <v/>
      </c>
      <c r="Q343" s="30" t="str">
        <f t="shared" si="79"/>
        <v/>
      </c>
      <c r="R343" s="19"/>
      <c r="S343" s="19" t="str">
        <f t="shared" si="80"/>
        <v/>
      </c>
      <c r="T343" s="19" t="str">
        <f t="shared" si="81"/>
        <v/>
      </c>
      <c r="U343" s="57" t="str">
        <f t="shared" si="82"/>
        <v/>
      </c>
      <c r="V343" s="57" t="str">
        <f t="shared" si="83"/>
        <v/>
      </c>
      <c r="W343" s="63" t="str">
        <f>IF(U343="","",IF(T344="",P$4-SUM(W$14:W342),IF((YEAR(O343)*1000+MONTH(O343))&gt;=P$9,IF((YEAR(O343)*1000+MONTH(O343))=P$9,ROUND(U343,0),ROUND(T343,0)),"")))</f>
        <v/>
      </c>
      <c r="X343" s="59" t="str">
        <f>IF(S$10="","",IF(P343&lt;=S$10,IF(P343=S$10,P$4-SUM(W$14:W342),W343),""))</f>
        <v/>
      </c>
    </row>
    <row r="344" spans="3:24" ht="15" hidden="1" customHeight="1" outlineLevel="1" x14ac:dyDescent="0.45">
      <c r="C344" s="124"/>
      <c r="D344" s="105"/>
      <c r="E344" s="131"/>
      <c r="F344" s="71"/>
      <c r="G344" s="78" t="str">
        <f t="shared" si="71"/>
        <v/>
      </c>
      <c r="H344" s="3">
        <f t="shared" si="72"/>
        <v>0</v>
      </c>
      <c r="I344" s="20" t="str">
        <f t="shared" si="73"/>
        <v/>
      </c>
      <c r="J344" s="94" t="str">
        <f t="shared" si="70"/>
        <v/>
      </c>
      <c r="K344" s="20" t="str">
        <f t="shared" si="74"/>
        <v/>
      </c>
      <c r="L344" s="94" t="str">
        <f t="shared" si="75"/>
        <v/>
      </c>
      <c r="M344" s="84" t="str">
        <f t="shared" si="76"/>
        <v/>
      </c>
      <c r="O344" s="36" t="str">
        <f t="shared" si="77"/>
        <v/>
      </c>
      <c r="P344" s="27" t="str">
        <f t="shared" si="78"/>
        <v/>
      </c>
      <c r="Q344" s="30" t="str">
        <f t="shared" si="79"/>
        <v/>
      </c>
      <c r="R344" s="19"/>
      <c r="S344" s="19" t="str">
        <f t="shared" si="80"/>
        <v/>
      </c>
      <c r="T344" s="19" t="str">
        <f t="shared" si="81"/>
        <v/>
      </c>
      <c r="U344" s="57" t="str">
        <f t="shared" si="82"/>
        <v/>
      </c>
      <c r="V344" s="57" t="str">
        <f t="shared" si="83"/>
        <v/>
      </c>
      <c r="W344" s="63" t="str">
        <f>IF(U344="","",IF(T345="",P$4-SUM(W$14:W343),IF((YEAR(O344)*1000+MONTH(O344))&gt;=P$9,IF((YEAR(O344)*1000+MONTH(O344))=P$9,ROUND(U344,0),ROUND(T344,0)),"")))</f>
        <v/>
      </c>
      <c r="X344" s="59" t="str">
        <f>IF(S$10="","",IF(P344&lt;=S$10,IF(P344=S$10,P$4-SUM(W$14:W343),W344),""))</f>
        <v/>
      </c>
    </row>
    <row r="345" spans="3:24" ht="15" hidden="1" customHeight="1" outlineLevel="1" x14ac:dyDescent="0.45">
      <c r="C345" s="124"/>
      <c r="D345" s="105"/>
      <c r="E345" s="131"/>
      <c r="F345" s="71"/>
      <c r="G345" s="78" t="str">
        <f t="shared" si="71"/>
        <v/>
      </c>
      <c r="H345" s="3">
        <f t="shared" si="72"/>
        <v>0</v>
      </c>
      <c r="I345" s="20" t="str">
        <f t="shared" si="73"/>
        <v/>
      </c>
      <c r="J345" s="94" t="str">
        <f t="shared" si="70"/>
        <v/>
      </c>
      <c r="K345" s="20" t="str">
        <f t="shared" si="74"/>
        <v/>
      </c>
      <c r="L345" s="94" t="str">
        <f t="shared" si="75"/>
        <v/>
      </c>
      <c r="M345" s="84" t="str">
        <f t="shared" si="76"/>
        <v/>
      </c>
      <c r="O345" s="36" t="str">
        <f t="shared" si="77"/>
        <v/>
      </c>
      <c r="P345" s="27" t="str">
        <f t="shared" si="78"/>
        <v/>
      </c>
      <c r="Q345" s="30" t="str">
        <f t="shared" si="79"/>
        <v/>
      </c>
      <c r="R345" s="19"/>
      <c r="S345" s="19" t="str">
        <f t="shared" si="80"/>
        <v/>
      </c>
      <c r="T345" s="19" t="str">
        <f t="shared" si="81"/>
        <v/>
      </c>
      <c r="U345" s="57" t="str">
        <f t="shared" si="82"/>
        <v/>
      </c>
      <c r="V345" s="57" t="str">
        <f t="shared" si="83"/>
        <v/>
      </c>
      <c r="W345" s="63" t="str">
        <f>IF(U345="","",IF(T346="",P$4-SUM(W$14:W344),IF((YEAR(O345)*1000+MONTH(O345))&gt;=P$9,IF((YEAR(O345)*1000+MONTH(O345))=P$9,ROUND(U345,0),ROUND(T345,0)),"")))</f>
        <v/>
      </c>
      <c r="X345" s="59" t="str">
        <f>IF(S$10="","",IF(P345&lt;=S$10,IF(P345=S$10,P$4-SUM(W$14:W344),W345),""))</f>
        <v/>
      </c>
    </row>
    <row r="346" spans="3:24" ht="15" hidden="1" customHeight="1" outlineLevel="1" x14ac:dyDescent="0.45">
      <c r="C346" s="124"/>
      <c r="D346" s="105"/>
      <c r="E346" s="131"/>
      <c r="F346" s="71"/>
      <c r="G346" s="78" t="str">
        <f t="shared" si="71"/>
        <v/>
      </c>
      <c r="H346" s="3">
        <f t="shared" si="72"/>
        <v>0</v>
      </c>
      <c r="I346" s="20" t="str">
        <f t="shared" si="73"/>
        <v/>
      </c>
      <c r="J346" s="94" t="str">
        <f t="shared" si="70"/>
        <v/>
      </c>
      <c r="K346" s="20" t="str">
        <f t="shared" si="74"/>
        <v/>
      </c>
      <c r="L346" s="94" t="str">
        <f t="shared" si="75"/>
        <v/>
      </c>
      <c r="M346" s="84" t="str">
        <f t="shared" si="76"/>
        <v/>
      </c>
      <c r="O346" s="36" t="str">
        <f t="shared" si="77"/>
        <v/>
      </c>
      <c r="P346" s="27" t="str">
        <f t="shared" si="78"/>
        <v/>
      </c>
      <c r="Q346" s="30" t="str">
        <f t="shared" si="79"/>
        <v/>
      </c>
      <c r="R346" s="19"/>
      <c r="S346" s="19" t="str">
        <f t="shared" si="80"/>
        <v/>
      </c>
      <c r="T346" s="19" t="str">
        <f t="shared" si="81"/>
        <v/>
      </c>
      <c r="U346" s="57" t="str">
        <f t="shared" si="82"/>
        <v/>
      </c>
      <c r="V346" s="57" t="str">
        <f t="shared" si="83"/>
        <v/>
      </c>
      <c r="W346" s="63" t="str">
        <f>IF(U346="","",IF(T347="",P$4-SUM(W$14:W345),IF((YEAR(O346)*1000+MONTH(O346))&gt;=P$9,IF((YEAR(O346)*1000+MONTH(O346))=P$9,ROUND(U346,0),ROUND(T346,0)),"")))</f>
        <v/>
      </c>
      <c r="X346" s="59" t="str">
        <f>IF(S$10="","",IF(P346&lt;=S$10,IF(P346=S$10,P$4-SUM(W$14:W345),W346),""))</f>
        <v/>
      </c>
    </row>
    <row r="347" spans="3:24" ht="15" hidden="1" customHeight="1" outlineLevel="1" x14ac:dyDescent="0.45">
      <c r="C347" s="124"/>
      <c r="D347" s="105"/>
      <c r="E347" s="131"/>
      <c r="F347" s="71"/>
      <c r="G347" s="78" t="str">
        <f t="shared" si="71"/>
        <v/>
      </c>
      <c r="H347" s="3">
        <f t="shared" si="72"/>
        <v>0</v>
      </c>
      <c r="I347" s="20" t="str">
        <f t="shared" si="73"/>
        <v/>
      </c>
      <c r="J347" s="94" t="str">
        <f t="shared" si="70"/>
        <v/>
      </c>
      <c r="K347" s="20" t="str">
        <f t="shared" si="74"/>
        <v/>
      </c>
      <c r="L347" s="94" t="str">
        <f t="shared" si="75"/>
        <v/>
      </c>
      <c r="M347" s="84" t="str">
        <f t="shared" si="76"/>
        <v/>
      </c>
      <c r="O347" s="36" t="str">
        <f t="shared" si="77"/>
        <v/>
      </c>
      <c r="P347" s="27" t="str">
        <f t="shared" si="78"/>
        <v/>
      </c>
      <c r="Q347" s="30" t="str">
        <f t="shared" si="79"/>
        <v/>
      </c>
      <c r="R347" s="19"/>
      <c r="S347" s="19" t="str">
        <f t="shared" si="80"/>
        <v/>
      </c>
      <c r="T347" s="19" t="str">
        <f t="shared" si="81"/>
        <v/>
      </c>
      <c r="U347" s="57" t="str">
        <f t="shared" si="82"/>
        <v/>
      </c>
      <c r="V347" s="57" t="str">
        <f t="shared" si="83"/>
        <v/>
      </c>
      <c r="W347" s="63" t="str">
        <f>IF(U347="","",IF(T348="",P$4-SUM(W$14:W346),IF((YEAR(O347)*1000+MONTH(O347))&gt;=P$9,IF((YEAR(O347)*1000+MONTH(O347))=P$9,ROUND(U347,0),ROUND(T347,0)),"")))</f>
        <v/>
      </c>
      <c r="X347" s="59" t="str">
        <f>IF(S$10="","",IF(P347&lt;=S$10,IF(P347=S$10,P$4-SUM(W$14:W346),W347),""))</f>
        <v/>
      </c>
    </row>
    <row r="348" spans="3:24" ht="15" hidden="1" customHeight="1" outlineLevel="1" x14ac:dyDescent="0.45">
      <c r="C348" s="124"/>
      <c r="D348" s="105"/>
      <c r="E348" s="131"/>
      <c r="F348" s="71"/>
      <c r="G348" s="78" t="str">
        <f t="shared" si="71"/>
        <v/>
      </c>
      <c r="H348" s="3">
        <f t="shared" si="72"/>
        <v>0</v>
      </c>
      <c r="I348" s="20" t="str">
        <f t="shared" si="73"/>
        <v/>
      </c>
      <c r="J348" s="94" t="str">
        <f t="shared" si="70"/>
        <v/>
      </c>
      <c r="K348" s="20" t="str">
        <f t="shared" si="74"/>
        <v/>
      </c>
      <c r="L348" s="94" t="str">
        <f t="shared" si="75"/>
        <v/>
      </c>
      <c r="M348" s="84" t="str">
        <f t="shared" si="76"/>
        <v/>
      </c>
      <c r="O348" s="36" t="str">
        <f t="shared" si="77"/>
        <v/>
      </c>
      <c r="P348" s="27" t="str">
        <f t="shared" si="78"/>
        <v/>
      </c>
      <c r="Q348" s="30" t="str">
        <f t="shared" si="79"/>
        <v/>
      </c>
      <c r="R348" s="19"/>
      <c r="S348" s="19" t="str">
        <f t="shared" si="80"/>
        <v/>
      </c>
      <c r="T348" s="19" t="str">
        <f t="shared" si="81"/>
        <v/>
      </c>
      <c r="U348" s="57" t="str">
        <f t="shared" si="82"/>
        <v/>
      </c>
      <c r="V348" s="57" t="str">
        <f t="shared" si="83"/>
        <v/>
      </c>
      <c r="W348" s="63" t="str">
        <f>IF(U348="","",IF(T349="",P$4-SUM(W$14:W347),IF((YEAR(O348)*1000+MONTH(O348))&gt;=P$9,IF((YEAR(O348)*1000+MONTH(O348))=P$9,ROUND(U348,0),ROUND(T348,0)),"")))</f>
        <v/>
      </c>
      <c r="X348" s="59" t="str">
        <f>IF(S$10="","",IF(P348&lt;=S$10,IF(P348=S$10,P$4-SUM(W$14:W347),W348),""))</f>
        <v/>
      </c>
    </row>
    <row r="349" spans="3:24" ht="15" hidden="1" customHeight="1" outlineLevel="1" x14ac:dyDescent="0.45">
      <c r="C349" s="124"/>
      <c r="D349" s="105"/>
      <c r="E349" s="131"/>
      <c r="F349" s="71"/>
      <c r="G349" s="78" t="str">
        <f t="shared" si="71"/>
        <v/>
      </c>
      <c r="H349" s="3">
        <f t="shared" si="72"/>
        <v>0</v>
      </c>
      <c r="I349" s="20" t="str">
        <f t="shared" si="73"/>
        <v/>
      </c>
      <c r="J349" s="94" t="str">
        <f t="shared" si="70"/>
        <v/>
      </c>
      <c r="K349" s="20" t="str">
        <f t="shared" si="74"/>
        <v/>
      </c>
      <c r="L349" s="94" t="str">
        <f t="shared" si="75"/>
        <v/>
      </c>
      <c r="M349" s="84" t="str">
        <f t="shared" si="76"/>
        <v/>
      </c>
      <c r="O349" s="36" t="str">
        <f t="shared" si="77"/>
        <v/>
      </c>
      <c r="P349" s="27" t="str">
        <f t="shared" si="78"/>
        <v/>
      </c>
      <c r="Q349" s="30" t="str">
        <f t="shared" si="79"/>
        <v/>
      </c>
      <c r="R349" s="19"/>
      <c r="S349" s="19" t="str">
        <f t="shared" si="80"/>
        <v/>
      </c>
      <c r="T349" s="19" t="str">
        <f t="shared" si="81"/>
        <v/>
      </c>
      <c r="U349" s="57" t="str">
        <f t="shared" si="82"/>
        <v/>
      </c>
      <c r="V349" s="57" t="str">
        <f t="shared" si="83"/>
        <v/>
      </c>
      <c r="W349" s="63" t="str">
        <f>IF(U349="","",IF(T350="",P$4-SUM(W$14:W348),IF((YEAR(O349)*1000+MONTH(O349))&gt;=P$9,IF((YEAR(O349)*1000+MONTH(O349))=P$9,ROUND(U349,0),ROUND(T349,0)),"")))</f>
        <v/>
      </c>
      <c r="X349" s="59" t="str">
        <f>IF(S$10="","",IF(P349&lt;=S$10,IF(P349=S$10,P$4-SUM(W$14:W348),W349),""))</f>
        <v/>
      </c>
    </row>
    <row r="350" spans="3:24" ht="15" hidden="1" customHeight="1" outlineLevel="1" x14ac:dyDescent="0.45">
      <c r="C350" s="124"/>
      <c r="D350" s="105"/>
      <c r="E350" s="131"/>
      <c r="F350" s="71"/>
      <c r="G350" s="78" t="str">
        <f t="shared" si="71"/>
        <v/>
      </c>
      <c r="H350" s="3">
        <f t="shared" si="72"/>
        <v>0</v>
      </c>
      <c r="I350" s="20" t="str">
        <f t="shared" si="73"/>
        <v/>
      </c>
      <c r="J350" s="94" t="str">
        <f t="shared" si="70"/>
        <v/>
      </c>
      <c r="K350" s="20" t="str">
        <f t="shared" si="74"/>
        <v/>
      </c>
      <c r="L350" s="94" t="str">
        <f t="shared" si="75"/>
        <v/>
      </c>
      <c r="M350" s="84" t="str">
        <f t="shared" si="76"/>
        <v/>
      </c>
      <c r="O350" s="36" t="str">
        <f t="shared" si="77"/>
        <v/>
      </c>
      <c r="P350" s="27" t="str">
        <f t="shared" si="78"/>
        <v/>
      </c>
      <c r="Q350" s="30" t="str">
        <f t="shared" si="79"/>
        <v/>
      </c>
      <c r="R350" s="19"/>
      <c r="S350" s="19" t="str">
        <f t="shared" si="80"/>
        <v/>
      </c>
      <c r="T350" s="19" t="str">
        <f t="shared" si="81"/>
        <v/>
      </c>
      <c r="U350" s="57" t="str">
        <f t="shared" si="82"/>
        <v/>
      </c>
      <c r="V350" s="57" t="str">
        <f t="shared" si="83"/>
        <v/>
      </c>
      <c r="W350" s="63" t="str">
        <f>IF(U350="","",IF(T351="",P$4-SUM(W$14:W349),IF((YEAR(O350)*1000+MONTH(O350))&gt;=P$9,IF((YEAR(O350)*1000+MONTH(O350))=P$9,ROUND(U350,0),ROUND(T350,0)),"")))</f>
        <v/>
      </c>
      <c r="X350" s="59" t="str">
        <f>IF(S$10="","",IF(P350&lt;=S$10,IF(P350=S$10,P$4-SUM(W$14:W349),W350),""))</f>
        <v/>
      </c>
    </row>
    <row r="351" spans="3:24" ht="15" hidden="1" customHeight="1" outlineLevel="1" x14ac:dyDescent="0.45">
      <c r="C351" s="124"/>
      <c r="D351" s="105"/>
      <c r="E351" s="131"/>
      <c r="F351" s="71"/>
      <c r="G351" s="78" t="str">
        <f t="shared" si="71"/>
        <v/>
      </c>
      <c r="H351" s="3">
        <f t="shared" si="72"/>
        <v>0</v>
      </c>
      <c r="I351" s="20" t="str">
        <f t="shared" si="73"/>
        <v/>
      </c>
      <c r="J351" s="94" t="str">
        <f t="shared" si="70"/>
        <v/>
      </c>
      <c r="K351" s="20" t="str">
        <f t="shared" si="74"/>
        <v/>
      </c>
      <c r="L351" s="94" t="str">
        <f t="shared" si="75"/>
        <v/>
      </c>
      <c r="M351" s="84" t="str">
        <f t="shared" si="76"/>
        <v/>
      </c>
      <c r="O351" s="36" t="str">
        <f t="shared" si="77"/>
        <v/>
      </c>
      <c r="P351" s="27" t="str">
        <f t="shared" si="78"/>
        <v/>
      </c>
      <c r="Q351" s="30" t="str">
        <f t="shared" si="79"/>
        <v/>
      </c>
      <c r="R351" s="19"/>
      <c r="S351" s="19" t="str">
        <f t="shared" si="80"/>
        <v/>
      </c>
      <c r="T351" s="19" t="str">
        <f t="shared" si="81"/>
        <v/>
      </c>
      <c r="U351" s="57" t="str">
        <f t="shared" si="82"/>
        <v/>
      </c>
      <c r="V351" s="57" t="str">
        <f t="shared" si="83"/>
        <v/>
      </c>
      <c r="W351" s="63" t="str">
        <f>IF(U351="","",IF(T352="",P$4-SUM(W$14:W350),IF((YEAR(O351)*1000+MONTH(O351))&gt;=P$9,IF((YEAR(O351)*1000+MONTH(O351))=P$9,ROUND(U351,0),ROUND(T351,0)),"")))</f>
        <v/>
      </c>
      <c r="X351" s="59" t="str">
        <f>IF(S$10="","",IF(P351&lt;=S$10,IF(P351=S$10,P$4-SUM(W$14:W350),W351),""))</f>
        <v/>
      </c>
    </row>
    <row r="352" spans="3:24" ht="15" hidden="1" customHeight="1" outlineLevel="1" x14ac:dyDescent="0.45">
      <c r="C352" s="124"/>
      <c r="D352" s="105"/>
      <c r="E352" s="131"/>
      <c r="F352" s="71"/>
      <c r="G352" s="78" t="str">
        <f t="shared" si="71"/>
        <v/>
      </c>
      <c r="H352" s="3">
        <f t="shared" si="72"/>
        <v>0</v>
      </c>
      <c r="I352" s="20" t="str">
        <f t="shared" si="73"/>
        <v/>
      </c>
      <c r="J352" s="94" t="str">
        <f t="shared" si="70"/>
        <v/>
      </c>
      <c r="K352" s="20" t="str">
        <f t="shared" si="74"/>
        <v/>
      </c>
      <c r="L352" s="94" t="str">
        <f t="shared" si="75"/>
        <v/>
      </c>
      <c r="M352" s="84" t="str">
        <f t="shared" si="76"/>
        <v/>
      </c>
      <c r="O352" s="36" t="str">
        <f t="shared" si="77"/>
        <v/>
      </c>
      <c r="P352" s="27" t="str">
        <f t="shared" si="78"/>
        <v/>
      </c>
      <c r="Q352" s="30" t="str">
        <f t="shared" si="79"/>
        <v/>
      </c>
      <c r="R352" s="19"/>
      <c r="S352" s="19" t="str">
        <f t="shared" si="80"/>
        <v/>
      </c>
      <c r="T352" s="19" t="str">
        <f t="shared" si="81"/>
        <v/>
      </c>
      <c r="U352" s="57" t="str">
        <f t="shared" si="82"/>
        <v/>
      </c>
      <c r="V352" s="57" t="str">
        <f t="shared" si="83"/>
        <v/>
      </c>
      <c r="W352" s="63" t="str">
        <f>IF(U352="","",IF(T353="",P$4-SUM(W$14:W351),IF((YEAR(O352)*1000+MONTH(O352))&gt;=P$9,IF((YEAR(O352)*1000+MONTH(O352))=P$9,ROUND(U352,0),ROUND(T352,0)),"")))</f>
        <v/>
      </c>
      <c r="X352" s="59" t="str">
        <f>IF(S$10="","",IF(P352&lt;=S$10,IF(P352=S$10,P$4-SUM(W$14:W351),W352),""))</f>
        <v/>
      </c>
    </row>
    <row r="353" spans="3:24" ht="15" hidden="1" customHeight="1" outlineLevel="1" x14ac:dyDescent="0.45">
      <c r="C353" s="124"/>
      <c r="D353" s="105"/>
      <c r="E353" s="131"/>
      <c r="F353" s="71"/>
      <c r="G353" s="78" t="str">
        <f t="shared" si="71"/>
        <v/>
      </c>
      <c r="H353" s="3">
        <f t="shared" si="72"/>
        <v>0</v>
      </c>
      <c r="I353" s="20" t="str">
        <f t="shared" si="73"/>
        <v/>
      </c>
      <c r="J353" s="94" t="str">
        <f t="shared" si="70"/>
        <v/>
      </c>
      <c r="K353" s="20" t="str">
        <f t="shared" si="74"/>
        <v/>
      </c>
      <c r="L353" s="94" t="str">
        <f t="shared" si="75"/>
        <v/>
      </c>
      <c r="M353" s="84" t="str">
        <f t="shared" si="76"/>
        <v/>
      </c>
      <c r="O353" s="36" t="str">
        <f t="shared" si="77"/>
        <v/>
      </c>
      <c r="P353" s="27" t="str">
        <f t="shared" si="78"/>
        <v/>
      </c>
      <c r="Q353" s="30" t="str">
        <f t="shared" si="79"/>
        <v/>
      </c>
      <c r="R353" s="19"/>
      <c r="S353" s="19" t="str">
        <f t="shared" si="80"/>
        <v/>
      </c>
      <c r="T353" s="19" t="str">
        <f t="shared" si="81"/>
        <v/>
      </c>
      <c r="U353" s="57" t="str">
        <f t="shared" si="82"/>
        <v/>
      </c>
      <c r="V353" s="57" t="str">
        <f t="shared" si="83"/>
        <v/>
      </c>
      <c r="W353" s="63" t="str">
        <f>IF(U353="","",IF(T354="",P$4-SUM(W$14:W352),IF((YEAR(O353)*1000+MONTH(O353))&gt;=P$9,IF((YEAR(O353)*1000+MONTH(O353))=P$9,ROUND(U353,0),ROUND(T353,0)),"")))</f>
        <v/>
      </c>
      <c r="X353" s="59" t="str">
        <f>IF(S$10="","",IF(P353&lt;=S$10,IF(P353=S$10,P$4-SUM(W$14:W352),W353),""))</f>
        <v/>
      </c>
    </row>
    <row r="354" spans="3:24" ht="15" hidden="1" customHeight="1" outlineLevel="1" x14ac:dyDescent="0.45">
      <c r="C354" s="124"/>
      <c r="D354" s="105"/>
      <c r="E354" s="131"/>
      <c r="F354" s="71"/>
      <c r="G354" s="78" t="str">
        <f t="shared" si="71"/>
        <v/>
      </c>
      <c r="H354" s="3">
        <f t="shared" si="72"/>
        <v>0</v>
      </c>
      <c r="I354" s="20" t="str">
        <f t="shared" si="73"/>
        <v/>
      </c>
      <c r="J354" s="94" t="str">
        <f t="shared" si="70"/>
        <v/>
      </c>
      <c r="K354" s="20" t="str">
        <f t="shared" si="74"/>
        <v/>
      </c>
      <c r="L354" s="94" t="str">
        <f t="shared" si="75"/>
        <v/>
      </c>
      <c r="M354" s="84" t="str">
        <f t="shared" si="76"/>
        <v/>
      </c>
      <c r="O354" s="36" t="str">
        <f t="shared" si="77"/>
        <v/>
      </c>
      <c r="P354" s="27" t="str">
        <f t="shared" si="78"/>
        <v/>
      </c>
      <c r="Q354" s="30" t="str">
        <f t="shared" si="79"/>
        <v/>
      </c>
      <c r="R354" s="19"/>
      <c r="S354" s="19" t="str">
        <f t="shared" si="80"/>
        <v/>
      </c>
      <c r="T354" s="19" t="str">
        <f t="shared" si="81"/>
        <v/>
      </c>
      <c r="U354" s="57" t="str">
        <f t="shared" si="82"/>
        <v/>
      </c>
      <c r="V354" s="57" t="str">
        <f t="shared" si="83"/>
        <v/>
      </c>
      <c r="W354" s="63" t="str">
        <f>IF(U354="","",IF(T355="",P$4-SUM(W$14:W353),IF((YEAR(O354)*1000+MONTH(O354))&gt;=P$9,IF((YEAR(O354)*1000+MONTH(O354))=P$9,ROUND(U354,0),ROUND(T354,0)),"")))</f>
        <v/>
      </c>
      <c r="X354" s="59" t="str">
        <f>IF(S$10="","",IF(P354&lt;=S$10,IF(P354=S$10,P$4-SUM(W$14:W353),W354),""))</f>
        <v/>
      </c>
    </row>
    <row r="355" spans="3:24" ht="15" hidden="1" customHeight="1" outlineLevel="1" x14ac:dyDescent="0.45">
      <c r="C355" s="124"/>
      <c r="D355" s="105"/>
      <c r="E355" s="131"/>
      <c r="F355" s="71"/>
      <c r="G355" s="78" t="str">
        <f t="shared" si="71"/>
        <v/>
      </c>
      <c r="H355" s="3">
        <f t="shared" si="72"/>
        <v>0</v>
      </c>
      <c r="I355" s="20" t="str">
        <f t="shared" si="73"/>
        <v/>
      </c>
      <c r="J355" s="94" t="str">
        <f t="shared" si="70"/>
        <v/>
      </c>
      <c r="K355" s="20" t="str">
        <f t="shared" si="74"/>
        <v/>
      </c>
      <c r="L355" s="94" t="str">
        <f t="shared" si="75"/>
        <v/>
      </c>
      <c r="M355" s="84" t="str">
        <f t="shared" si="76"/>
        <v/>
      </c>
      <c r="O355" s="36" t="str">
        <f t="shared" si="77"/>
        <v/>
      </c>
      <c r="P355" s="27" t="str">
        <f t="shared" si="78"/>
        <v/>
      </c>
      <c r="Q355" s="30" t="str">
        <f t="shared" si="79"/>
        <v/>
      </c>
      <c r="R355" s="19"/>
      <c r="S355" s="19" t="str">
        <f t="shared" si="80"/>
        <v/>
      </c>
      <c r="T355" s="19" t="str">
        <f t="shared" si="81"/>
        <v/>
      </c>
      <c r="U355" s="57" t="str">
        <f t="shared" si="82"/>
        <v/>
      </c>
      <c r="V355" s="57" t="str">
        <f t="shared" si="83"/>
        <v/>
      </c>
      <c r="W355" s="63" t="str">
        <f>IF(U355="","",IF(T356="",P$4-SUM(W$14:W354),IF((YEAR(O355)*1000+MONTH(O355))&gt;=P$9,IF((YEAR(O355)*1000+MONTH(O355))=P$9,ROUND(U355,0),ROUND(T355,0)),"")))</f>
        <v/>
      </c>
      <c r="X355" s="59" t="str">
        <f>IF(S$10="","",IF(P355&lt;=S$10,IF(P355=S$10,P$4-SUM(W$14:W354),W355),""))</f>
        <v/>
      </c>
    </row>
    <row r="356" spans="3:24" ht="15" hidden="1" customHeight="1" outlineLevel="1" x14ac:dyDescent="0.45">
      <c r="C356" s="124"/>
      <c r="D356" s="105"/>
      <c r="E356" s="131"/>
      <c r="F356" s="71"/>
      <c r="G356" s="78" t="str">
        <f t="shared" si="71"/>
        <v/>
      </c>
      <c r="H356" s="3">
        <f t="shared" si="72"/>
        <v>0</v>
      </c>
      <c r="I356" s="20" t="str">
        <f t="shared" si="73"/>
        <v/>
      </c>
      <c r="J356" s="94" t="str">
        <f t="shared" si="70"/>
        <v/>
      </c>
      <c r="K356" s="20" t="str">
        <f t="shared" si="74"/>
        <v/>
      </c>
      <c r="L356" s="94" t="str">
        <f t="shared" si="75"/>
        <v/>
      </c>
      <c r="M356" s="84" t="str">
        <f t="shared" si="76"/>
        <v/>
      </c>
      <c r="O356" s="36" t="str">
        <f t="shared" si="77"/>
        <v/>
      </c>
      <c r="P356" s="27" t="str">
        <f t="shared" si="78"/>
        <v/>
      </c>
      <c r="Q356" s="30" t="str">
        <f t="shared" si="79"/>
        <v/>
      </c>
      <c r="R356" s="19"/>
      <c r="S356" s="19" t="str">
        <f t="shared" si="80"/>
        <v/>
      </c>
      <c r="T356" s="19" t="str">
        <f t="shared" si="81"/>
        <v/>
      </c>
      <c r="U356" s="57" t="str">
        <f t="shared" si="82"/>
        <v/>
      </c>
      <c r="V356" s="57" t="str">
        <f t="shared" si="83"/>
        <v/>
      </c>
      <c r="W356" s="63" t="str">
        <f>IF(U356="","",IF(T357="",P$4-SUM(W$14:W355),IF((YEAR(O356)*1000+MONTH(O356))&gt;=P$9,IF((YEAR(O356)*1000+MONTH(O356))=P$9,ROUND(U356,0),ROUND(T356,0)),"")))</f>
        <v/>
      </c>
      <c r="X356" s="59" t="str">
        <f>IF(S$10="","",IF(P356&lt;=S$10,IF(P356=S$10,P$4-SUM(W$14:W355),W356),""))</f>
        <v/>
      </c>
    </row>
    <row r="357" spans="3:24" ht="15" hidden="1" customHeight="1" outlineLevel="1" x14ac:dyDescent="0.45">
      <c r="C357" s="124"/>
      <c r="D357" s="105"/>
      <c r="E357" s="131"/>
      <c r="F357" s="71"/>
      <c r="G357" s="78" t="str">
        <f t="shared" si="71"/>
        <v/>
      </c>
      <c r="H357" s="3">
        <f t="shared" si="72"/>
        <v>0</v>
      </c>
      <c r="I357" s="20" t="str">
        <f t="shared" si="73"/>
        <v/>
      </c>
      <c r="J357" s="94" t="str">
        <f t="shared" si="70"/>
        <v/>
      </c>
      <c r="K357" s="20" t="str">
        <f t="shared" si="74"/>
        <v/>
      </c>
      <c r="L357" s="94" t="str">
        <f t="shared" si="75"/>
        <v/>
      </c>
      <c r="M357" s="84" t="str">
        <f t="shared" si="76"/>
        <v/>
      </c>
      <c r="O357" s="36" t="str">
        <f t="shared" si="77"/>
        <v/>
      </c>
      <c r="P357" s="27" t="str">
        <f t="shared" si="78"/>
        <v/>
      </c>
      <c r="Q357" s="30" t="str">
        <f t="shared" si="79"/>
        <v/>
      </c>
      <c r="R357" s="19"/>
      <c r="S357" s="19" t="str">
        <f t="shared" si="80"/>
        <v/>
      </c>
      <c r="T357" s="19" t="str">
        <f t="shared" si="81"/>
        <v/>
      </c>
      <c r="U357" s="57" t="str">
        <f t="shared" si="82"/>
        <v/>
      </c>
      <c r="V357" s="57" t="str">
        <f t="shared" si="83"/>
        <v/>
      </c>
      <c r="W357" s="63" t="str">
        <f>IF(U357="","",IF(T358="",P$4-SUM(W$14:W356),IF((YEAR(O357)*1000+MONTH(O357))&gt;=P$9,IF((YEAR(O357)*1000+MONTH(O357))=P$9,ROUND(U357,0),ROUND(T357,0)),"")))</f>
        <v/>
      </c>
      <c r="X357" s="59" t="str">
        <f>IF(S$10="","",IF(P357&lt;=S$10,IF(P357=S$10,P$4-SUM(W$14:W356),W357),""))</f>
        <v/>
      </c>
    </row>
    <row r="358" spans="3:24" ht="15" hidden="1" customHeight="1" outlineLevel="1" x14ac:dyDescent="0.45">
      <c r="C358" s="124"/>
      <c r="D358" s="105"/>
      <c r="E358" s="131"/>
      <c r="F358" s="71"/>
      <c r="G358" s="78" t="str">
        <f t="shared" si="71"/>
        <v/>
      </c>
      <c r="H358" s="3">
        <f t="shared" si="72"/>
        <v>0</v>
      </c>
      <c r="I358" s="20" t="str">
        <f t="shared" si="73"/>
        <v/>
      </c>
      <c r="J358" s="94" t="str">
        <f t="shared" si="70"/>
        <v/>
      </c>
      <c r="K358" s="20" t="str">
        <f t="shared" si="74"/>
        <v/>
      </c>
      <c r="L358" s="94" t="str">
        <f t="shared" si="75"/>
        <v/>
      </c>
      <c r="M358" s="84" t="str">
        <f t="shared" si="76"/>
        <v/>
      </c>
      <c r="O358" s="36" t="str">
        <f t="shared" si="77"/>
        <v/>
      </c>
      <c r="P358" s="27" t="str">
        <f t="shared" si="78"/>
        <v/>
      </c>
      <c r="Q358" s="30" t="str">
        <f t="shared" si="79"/>
        <v/>
      </c>
      <c r="R358" s="19"/>
      <c r="S358" s="19" t="str">
        <f t="shared" si="80"/>
        <v/>
      </c>
      <c r="T358" s="19" t="str">
        <f t="shared" si="81"/>
        <v/>
      </c>
      <c r="U358" s="57" t="str">
        <f t="shared" si="82"/>
        <v/>
      </c>
      <c r="V358" s="57" t="str">
        <f t="shared" si="83"/>
        <v/>
      </c>
      <c r="W358" s="63" t="str">
        <f>IF(U358="","",IF(T359="",P$4-SUM(W$14:W357),IF((YEAR(O358)*1000+MONTH(O358))&gt;=P$9,IF((YEAR(O358)*1000+MONTH(O358))=P$9,ROUND(U358,0),ROUND(T358,0)),"")))</f>
        <v/>
      </c>
      <c r="X358" s="59" t="str">
        <f>IF(S$10="","",IF(P358&lt;=S$10,IF(P358=S$10,P$4-SUM(W$14:W357),W358),""))</f>
        <v/>
      </c>
    </row>
    <row r="359" spans="3:24" ht="15" hidden="1" customHeight="1" outlineLevel="1" x14ac:dyDescent="0.45">
      <c r="C359" s="124"/>
      <c r="D359" s="105"/>
      <c r="E359" s="131"/>
      <c r="F359" s="71"/>
      <c r="G359" s="78" t="str">
        <f t="shared" si="71"/>
        <v/>
      </c>
      <c r="H359" s="3">
        <f t="shared" si="72"/>
        <v>0</v>
      </c>
      <c r="I359" s="20" t="str">
        <f t="shared" si="73"/>
        <v/>
      </c>
      <c r="J359" s="94" t="str">
        <f t="shared" si="70"/>
        <v/>
      </c>
      <c r="K359" s="20" t="str">
        <f t="shared" si="74"/>
        <v/>
      </c>
      <c r="L359" s="94" t="str">
        <f t="shared" si="75"/>
        <v/>
      </c>
      <c r="M359" s="84" t="str">
        <f t="shared" si="76"/>
        <v/>
      </c>
      <c r="O359" s="36" t="str">
        <f t="shared" si="77"/>
        <v/>
      </c>
      <c r="P359" s="27" t="str">
        <f t="shared" si="78"/>
        <v/>
      </c>
      <c r="Q359" s="30" t="str">
        <f t="shared" si="79"/>
        <v/>
      </c>
      <c r="R359" s="19"/>
      <c r="S359" s="19" t="str">
        <f t="shared" si="80"/>
        <v/>
      </c>
      <c r="T359" s="19" t="str">
        <f t="shared" si="81"/>
        <v/>
      </c>
      <c r="U359" s="57" t="str">
        <f t="shared" si="82"/>
        <v/>
      </c>
      <c r="V359" s="57" t="str">
        <f t="shared" si="83"/>
        <v/>
      </c>
      <c r="W359" s="63" t="str">
        <f>IF(U359="","",IF(T360="",P$4-SUM(W$14:W358),IF((YEAR(O359)*1000+MONTH(O359))&gt;=P$9,IF((YEAR(O359)*1000+MONTH(O359))=P$9,ROUND(U359,0),ROUND(T359,0)),"")))</f>
        <v/>
      </c>
      <c r="X359" s="59" t="str">
        <f>IF(S$10="","",IF(P359&lt;=S$10,IF(P359=S$10,P$4-SUM(W$14:W358),W359),""))</f>
        <v/>
      </c>
    </row>
    <row r="360" spans="3:24" ht="15" hidden="1" customHeight="1" outlineLevel="1" x14ac:dyDescent="0.45">
      <c r="C360" s="124"/>
      <c r="D360" s="105"/>
      <c r="E360" s="131"/>
      <c r="F360" s="71"/>
      <c r="G360" s="78" t="str">
        <f t="shared" si="71"/>
        <v/>
      </c>
      <c r="H360" s="3">
        <f t="shared" si="72"/>
        <v>0</v>
      </c>
      <c r="I360" s="20" t="str">
        <f t="shared" si="73"/>
        <v/>
      </c>
      <c r="J360" s="94" t="str">
        <f t="shared" si="70"/>
        <v/>
      </c>
      <c r="K360" s="20" t="str">
        <f t="shared" si="74"/>
        <v/>
      </c>
      <c r="L360" s="94" t="str">
        <f t="shared" si="75"/>
        <v/>
      </c>
      <c r="M360" s="84" t="str">
        <f t="shared" si="76"/>
        <v/>
      </c>
      <c r="O360" s="36" t="str">
        <f t="shared" si="77"/>
        <v/>
      </c>
      <c r="P360" s="27" t="str">
        <f t="shared" si="78"/>
        <v/>
      </c>
      <c r="Q360" s="30" t="str">
        <f t="shared" si="79"/>
        <v/>
      </c>
      <c r="R360" s="19"/>
      <c r="S360" s="19" t="str">
        <f t="shared" si="80"/>
        <v/>
      </c>
      <c r="T360" s="19" t="str">
        <f t="shared" si="81"/>
        <v/>
      </c>
      <c r="U360" s="57" t="str">
        <f t="shared" si="82"/>
        <v/>
      </c>
      <c r="V360" s="57" t="str">
        <f t="shared" si="83"/>
        <v/>
      </c>
      <c r="W360" s="63" t="str">
        <f>IF(U360="","",IF(T361="",P$4-SUM(W$14:W359),IF((YEAR(O360)*1000+MONTH(O360))&gt;=P$9,IF((YEAR(O360)*1000+MONTH(O360))=P$9,ROUND(U360,0),ROUND(T360,0)),"")))</f>
        <v/>
      </c>
      <c r="X360" s="59" t="str">
        <f>IF(S$10="","",IF(P360&lt;=S$10,IF(P360=S$10,P$4-SUM(W$14:W359),W360),""))</f>
        <v/>
      </c>
    </row>
    <row r="361" spans="3:24" ht="15" hidden="1" customHeight="1" outlineLevel="1" x14ac:dyDescent="0.45">
      <c r="C361" s="124"/>
      <c r="D361" s="105"/>
      <c r="E361" s="131"/>
      <c r="F361" s="71"/>
      <c r="G361" s="78" t="str">
        <f t="shared" si="71"/>
        <v/>
      </c>
      <c r="H361" s="3">
        <f t="shared" si="72"/>
        <v>0</v>
      </c>
      <c r="I361" s="20" t="str">
        <f t="shared" si="73"/>
        <v/>
      </c>
      <c r="J361" s="94" t="str">
        <f t="shared" si="70"/>
        <v/>
      </c>
      <c r="K361" s="20" t="str">
        <f t="shared" si="74"/>
        <v/>
      </c>
      <c r="L361" s="94" t="str">
        <f t="shared" si="75"/>
        <v/>
      </c>
      <c r="M361" s="84" t="str">
        <f t="shared" si="76"/>
        <v/>
      </c>
      <c r="O361" s="36" t="str">
        <f t="shared" si="77"/>
        <v/>
      </c>
      <c r="P361" s="27" t="str">
        <f t="shared" si="78"/>
        <v/>
      </c>
      <c r="Q361" s="30" t="str">
        <f t="shared" si="79"/>
        <v/>
      </c>
      <c r="R361" s="19"/>
      <c r="S361" s="19" t="str">
        <f t="shared" si="80"/>
        <v/>
      </c>
      <c r="T361" s="19" t="str">
        <f t="shared" si="81"/>
        <v/>
      </c>
      <c r="U361" s="57" t="str">
        <f t="shared" si="82"/>
        <v/>
      </c>
      <c r="V361" s="57" t="str">
        <f t="shared" si="83"/>
        <v/>
      </c>
      <c r="W361" s="63" t="str">
        <f>IF(U361="","",IF(T362="",P$4-SUM(W$14:W360),IF((YEAR(O361)*1000+MONTH(O361))&gt;=P$9,IF((YEAR(O361)*1000+MONTH(O361))=P$9,ROUND(U361,0),ROUND(T361,0)),"")))</f>
        <v/>
      </c>
      <c r="X361" s="59" t="str">
        <f>IF(S$10="","",IF(P361&lt;=S$10,IF(P361=S$10,P$4-SUM(W$14:W360),W361),""))</f>
        <v/>
      </c>
    </row>
    <row r="362" spans="3:24" ht="15" hidden="1" customHeight="1" outlineLevel="1" x14ac:dyDescent="0.45">
      <c r="C362" s="124"/>
      <c r="D362" s="105"/>
      <c r="E362" s="131"/>
      <c r="F362" s="71"/>
      <c r="G362" s="78" t="str">
        <f t="shared" si="71"/>
        <v/>
      </c>
      <c r="H362" s="3">
        <f t="shared" si="72"/>
        <v>0</v>
      </c>
      <c r="I362" s="20" t="str">
        <f t="shared" si="73"/>
        <v/>
      </c>
      <c r="J362" s="94" t="str">
        <f t="shared" si="70"/>
        <v/>
      </c>
      <c r="K362" s="20" t="str">
        <f t="shared" si="74"/>
        <v/>
      </c>
      <c r="L362" s="94" t="str">
        <f t="shared" si="75"/>
        <v/>
      </c>
      <c r="M362" s="84" t="str">
        <f t="shared" si="76"/>
        <v/>
      </c>
      <c r="O362" s="36" t="str">
        <f t="shared" si="77"/>
        <v/>
      </c>
      <c r="P362" s="27" t="str">
        <f t="shared" si="78"/>
        <v/>
      </c>
      <c r="Q362" s="30" t="str">
        <f t="shared" si="79"/>
        <v/>
      </c>
      <c r="R362" s="19"/>
      <c r="S362" s="19" t="str">
        <f t="shared" si="80"/>
        <v/>
      </c>
      <c r="T362" s="19" t="str">
        <f t="shared" si="81"/>
        <v/>
      </c>
      <c r="U362" s="57" t="str">
        <f t="shared" si="82"/>
        <v/>
      </c>
      <c r="V362" s="57" t="str">
        <f t="shared" si="83"/>
        <v/>
      </c>
      <c r="W362" s="63" t="str">
        <f>IF(U362="","",IF(T363="",P$4-SUM(W$14:W361),IF((YEAR(O362)*1000+MONTH(O362))&gt;=P$9,IF((YEAR(O362)*1000+MONTH(O362))=P$9,ROUND(U362,0),ROUND(T362,0)),"")))</f>
        <v/>
      </c>
      <c r="X362" s="59" t="str">
        <f>IF(S$10="","",IF(P362&lt;=S$10,IF(P362=S$10,P$4-SUM(W$14:W361),W362),""))</f>
        <v/>
      </c>
    </row>
    <row r="363" spans="3:24" ht="15" hidden="1" customHeight="1" outlineLevel="1" x14ac:dyDescent="0.45">
      <c r="C363" s="124"/>
      <c r="D363" s="105"/>
      <c r="E363" s="131"/>
      <c r="F363" s="71"/>
      <c r="G363" s="78" t="str">
        <f t="shared" si="71"/>
        <v/>
      </c>
      <c r="H363" s="3">
        <f t="shared" si="72"/>
        <v>0</v>
      </c>
      <c r="I363" s="20" t="str">
        <f t="shared" si="73"/>
        <v/>
      </c>
      <c r="J363" s="94" t="str">
        <f t="shared" si="70"/>
        <v/>
      </c>
      <c r="K363" s="20" t="str">
        <f t="shared" si="74"/>
        <v/>
      </c>
      <c r="L363" s="94" t="str">
        <f t="shared" si="75"/>
        <v/>
      </c>
      <c r="M363" s="84" t="str">
        <f t="shared" si="76"/>
        <v/>
      </c>
      <c r="O363" s="36" t="str">
        <f t="shared" si="77"/>
        <v/>
      </c>
      <c r="P363" s="27" t="str">
        <f t="shared" si="78"/>
        <v/>
      </c>
      <c r="Q363" s="30" t="str">
        <f t="shared" si="79"/>
        <v/>
      </c>
      <c r="R363" s="19"/>
      <c r="S363" s="19" t="str">
        <f t="shared" si="80"/>
        <v/>
      </c>
      <c r="T363" s="19" t="str">
        <f t="shared" si="81"/>
        <v/>
      </c>
      <c r="U363" s="57" t="str">
        <f t="shared" si="82"/>
        <v/>
      </c>
      <c r="V363" s="57" t="str">
        <f t="shared" si="83"/>
        <v/>
      </c>
      <c r="W363" s="63" t="str">
        <f>IF(U363="","",IF(T364="",P$4-SUM(W$14:W362),IF((YEAR(O363)*1000+MONTH(O363))&gt;=P$9,IF((YEAR(O363)*1000+MONTH(O363))=P$9,ROUND(U363,0),ROUND(T363,0)),"")))</f>
        <v/>
      </c>
      <c r="X363" s="59" t="str">
        <f>IF(S$10="","",IF(P363&lt;=S$10,IF(P363=S$10,P$4-SUM(W$14:W362),W363),""))</f>
        <v/>
      </c>
    </row>
    <row r="364" spans="3:24" ht="15" hidden="1" customHeight="1" outlineLevel="1" x14ac:dyDescent="0.45">
      <c r="C364" s="124"/>
      <c r="D364" s="105"/>
      <c r="E364" s="131"/>
      <c r="F364" s="71"/>
      <c r="G364" s="78" t="str">
        <f t="shared" si="71"/>
        <v/>
      </c>
      <c r="H364" s="3">
        <f t="shared" si="72"/>
        <v>0</v>
      </c>
      <c r="I364" s="20" t="str">
        <f t="shared" si="73"/>
        <v/>
      </c>
      <c r="J364" s="94" t="str">
        <f t="shared" si="70"/>
        <v/>
      </c>
      <c r="K364" s="20" t="str">
        <f t="shared" si="74"/>
        <v/>
      </c>
      <c r="L364" s="94" t="str">
        <f t="shared" si="75"/>
        <v/>
      </c>
      <c r="M364" s="84" t="str">
        <f t="shared" si="76"/>
        <v/>
      </c>
      <c r="O364" s="36" t="str">
        <f t="shared" si="77"/>
        <v/>
      </c>
      <c r="P364" s="27" t="str">
        <f t="shared" si="78"/>
        <v/>
      </c>
      <c r="Q364" s="30" t="str">
        <f t="shared" si="79"/>
        <v/>
      </c>
      <c r="R364" s="19"/>
      <c r="S364" s="19" t="str">
        <f t="shared" si="80"/>
        <v/>
      </c>
      <c r="T364" s="19" t="str">
        <f t="shared" si="81"/>
        <v/>
      </c>
      <c r="U364" s="57" t="str">
        <f t="shared" si="82"/>
        <v/>
      </c>
      <c r="V364" s="57" t="str">
        <f t="shared" si="83"/>
        <v/>
      </c>
      <c r="W364" s="63" t="str">
        <f>IF(U364="","",IF(T365="",P$4-SUM(W$14:W363),IF((YEAR(O364)*1000+MONTH(O364))&gt;=P$9,IF((YEAR(O364)*1000+MONTH(O364))=P$9,ROUND(U364,0),ROUND(T364,0)),"")))</f>
        <v/>
      </c>
      <c r="X364" s="59" t="str">
        <f>IF(S$10="","",IF(P364&lt;=S$10,IF(P364=S$10,P$4-SUM(W$14:W363),W364),""))</f>
        <v/>
      </c>
    </row>
    <row r="365" spans="3:24" ht="15" hidden="1" customHeight="1" outlineLevel="1" x14ac:dyDescent="0.45">
      <c r="C365" s="124"/>
      <c r="D365" s="105"/>
      <c r="E365" s="131"/>
      <c r="F365" s="71"/>
      <c r="G365" s="78" t="str">
        <f t="shared" si="71"/>
        <v/>
      </c>
      <c r="H365" s="3">
        <f t="shared" si="72"/>
        <v>0</v>
      </c>
      <c r="I365" s="20" t="str">
        <f t="shared" si="73"/>
        <v/>
      </c>
      <c r="J365" s="94" t="str">
        <f t="shared" si="70"/>
        <v/>
      </c>
      <c r="K365" s="20" t="str">
        <f t="shared" si="74"/>
        <v/>
      </c>
      <c r="L365" s="94" t="str">
        <f t="shared" si="75"/>
        <v/>
      </c>
      <c r="M365" s="84" t="str">
        <f t="shared" si="76"/>
        <v/>
      </c>
      <c r="O365" s="36" t="str">
        <f t="shared" si="77"/>
        <v/>
      </c>
      <c r="P365" s="27" t="str">
        <f t="shared" si="78"/>
        <v/>
      </c>
      <c r="Q365" s="30" t="str">
        <f t="shared" si="79"/>
        <v/>
      </c>
      <c r="R365" s="19"/>
      <c r="S365" s="19" t="str">
        <f t="shared" si="80"/>
        <v/>
      </c>
      <c r="T365" s="19" t="str">
        <f t="shared" si="81"/>
        <v/>
      </c>
      <c r="U365" s="57" t="str">
        <f t="shared" si="82"/>
        <v/>
      </c>
      <c r="V365" s="57" t="str">
        <f t="shared" si="83"/>
        <v/>
      </c>
      <c r="W365" s="63" t="str">
        <f>IF(U365="","",IF(T366="",P$4-SUM(W$14:W364),IF((YEAR(O365)*1000+MONTH(O365))&gt;=P$9,IF((YEAR(O365)*1000+MONTH(O365))=P$9,ROUND(U365,0),ROUND(T365,0)),"")))</f>
        <v/>
      </c>
      <c r="X365" s="59" t="str">
        <f>IF(S$10="","",IF(P365&lt;=S$10,IF(P365=S$10,P$4-SUM(W$14:W364),W365),""))</f>
        <v/>
      </c>
    </row>
    <row r="366" spans="3:24" ht="15" hidden="1" customHeight="1" outlineLevel="1" x14ac:dyDescent="0.45">
      <c r="C366" s="124"/>
      <c r="D366" s="105"/>
      <c r="E366" s="131"/>
      <c r="F366" s="71"/>
      <c r="G366" s="78" t="str">
        <f t="shared" si="71"/>
        <v/>
      </c>
      <c r="H366" s="3">
        <f t="shared" si="72"/>
        <v>0</v>
      </c>
      <c r="I366" s="20" t="str">
        <f t="shared" si="73"/>
        <v/>
      </c>
      <c r="J366" s="94" t="str">
        <f t="shared" si="70"/>
        <v/>
      </c>
      <c r="K366" s="20" t="str">
        <f t="shared" si="74"/>
        <v/>
      </c>
      <c r="L366" s="94" t="str">
        <f t="shared" si="75"/>
        <v/>
      </c>
      <c r="M366" s="84" t="str">
        <f t="shared" si="76"/>
        <v/>
      </c>
      <c r="O366" s="36" t="str">
        <f t="shared" si="77"/>
        <v/>
      </c>
      <c r="P366" s="27" t="str">
        <f t="shared" si="78"/>
        <v/>
      </c>
      <c r="Q366" s="30" t="str">
        <f t="shared" si="79"/>
        <v/>
      </c>
      <c r="R366" s="19"/>
      <c r="S366" s="19" t="str">
        <f t="shared" si="80"/>
        <v/>
      </c>
      <c r="T366" s="19" t="str">
        <f t="shared" si="81"/>
        <v/>
      </c>
      <c r="U366" s="57" t="str">
        <f t="shared" si="82"/>
        <v/>
      </c>
      <c r="V366" s="57" t="str">
        <f t="shared" si="83"/>
        <v/>
      </c>
      <c r="W366" s="63" t="str">
        <f>IF(U366="","",IF(T367="",P$4-SUM(W$14:W365),IF((YEAR(O366)*1000+MONTH(O366))&gt;=P$9,IF((YEAR(O366)*1000+MONTH(O366))=P$9,ROUND(U366,0),ROUND(T366,0)),"")))</f>
        <v/>
      </c>
      <c r="X366" s="59" t="str">
        <f>IF(S$10="","",IF(P366&lt;=S$10,IF(P366=S$10,P$4-SUM(W$14:W365),W366),""))</f>
        <v/>
      </c>
    </row>
    <row r="367" spans="3:24" ht="15" hidden="1" customHeight="1" outlineLevel="1" x14ac:dyDescent="0.45">
      <c r="C367" s="124"/>
      <c r="D367" s="105"/>
      <c r="E367" s="131"/>
      <c r="F367" s="71"/>
      <c r="G367" s="78" t="str">
        <f t="shared" si="71"/>
        <v/>
      </c>
      <c r="H367" s="3">
        <f t="shared" si="72"/>
        <v>0</v>
      </c>
      <c r="I367" s="20" t="str">
        <f t="shared" si="73"/>
        <v/>
      </c>
      <c r="J367" s="94" t="str">
        <f t="shared" si="70"/>
        <v/>
      </c>
      <c r="K367" s="20" t="str">
        <f t="shared" si="74"/>
        <v/>
      </c>
      <c r="L367" s="94" t="str">
        <f t="shared" si="75"/>
        <v/>
      </c>
      <c r="M367" s="84" t="str">
        <f t="shared" si="76"/>
        <v/>
      </c>
      <c r="O367" s="36" t="str">
        <f t="shared" si="77"/>
        <v/>
      </c>
      <c r="P367" s="27" t="str">
        <f t="shared" si="78"/>
        <v/>
      </c>
      <c r="Q367" s="30" t="str">
        <f t="shared" si="79"/>
        <v/>
      </c>
      <c r="R367" s="19"/>
      <c r="S367" s="19" t="str">
        <f t="shared" si="80"/>
        <v/>
      </c>
      <c r="T367" s="19" t="str">
        <f t="shared" si="81"/>
        <v/>
      </c>
      <c r="U367" s="57" t="str">
        <f t="shared" si="82"/>
        <v/>
      </c>
      <c r="V367" s="57" t="str">
        <f t="shared" si="83"/>
        <v/>
      </c>
      <c r="W367" s="63" t="str">
        <f>IF(U367="","",IF(T368="",P$4-SUM(W$14:W366),IF((YEAR(O367)*1000+MONTH(O367))&gt;=P$9,IF((YEAR(O367)*1000+MONTH(O367))=P$9,ROUND(U367,0),ROUND(T367,0)),"")))</f>
        <v/>
      </c>
      <c r="X367" s="59" t="str">
        <f>IF(S$10="","",IF(P367&lt;=S$10,IF(P367=S$10,P$4-SUM(W$14:W366),W367),""))</f>
        <v/>
      </c>
    </row>
    <row r="368" spans="3:24" ht="15" hidden="1" customHeight="1" outlineLevel="1" x14ac:dyDescent="0.45">
      <c r="C368" s="124"/>
      <c r="D368" s="105"/>
      <c r="E368" s="131"/>
      <c r="F368" s="71"/>
      <c r="G368" s="78" t="str">
        <f t="shared" si="71"/>
        <v/>
      </c>
      <c r="H368" s="3">
        <f t="shared" si="72"/>
        <v>0</v>
      </c>
      <c r="I368" s="20" t="str">
        <f t="shared" si="73"/>
        <v/>
      </c>
      <c r="J368" s="94" t="str">
        <f t="shared" si="70"/>
        <v/>
      </c>
      <c r="K368" s="20" t="str">
        <f t="shared" si="74"/>
        <v/>
      </c>
      <c r="L368" s="94" t="str">
        <f t="shared" si="75"/>
        <v/>
      </c>
      <c r="M368" s="84" t="str">
        <f t="shared" si="76"/>
        <v/>
      </c>
      <c r="O368" s="36" t="str">
        <f t="shared" si="77"/>
        <v/>
      </c>
      <c r="P368" s="27" t="str">
        <f t="shared" si="78"/>
        <v/>
      </c>
      <c r="Q368" s="30" t="str">
        <f t="shared" si="79"/>
        <v/>
      </c>
      <c r="R368" s="19"/>
      <c r="S368" s="19" t="str">
        <f t="shared" si="80"/>
        <v/>
      </c>
      <c r="T368" s="19" t="str">
        <f t="shared" si="81"/>
        <v/>
      </c>
      <c r="U368" s="57" t="str">
        <f t="shared" si="82"/>
        <v/>
      </c>
      <c r="V368" s="57" t="str">
        <f t="shared" si="83"/>
        <v/>
      </c>
      <c r="W368" s="63" t="str">
        <f>IF(U368="","",IF(T369="",P$4-SUM(W$14:W367),IF((YEAR(O368)*1000+MONTH(O368))&gt;=P$9,IF((YEAR(O368)*1000+MONTH(O368))=P$9,ROUND(U368,0),ROUND(T368,0)),"")))</f>
        <v/>
      </c>
      <c r="X368" s="59" t="str">
        <f>IF(S$10="","",IF(P368&lt;=S$10,IF(P368=S$10,P$4-SUM(W$14:W367),W368),""))</f>
        <v/>
      </c>
    </row>
    <row r="369" spans="3:24" ht="15" hidden="1" customHeight="1" outlineLevel="1" x14ac:dyDescent="0.45">
      <c r="C369" s="124"/>
      <c r="D369" s="105"/>
      <c r="E369" s="131"/>
      <c r="F369" s="71"/>
      <c r="G369" s="78" t="str">
        <f t="shared" si="71"/>
        <v/>
      </c>
      <c r="H369" s="3">
        <f t="shared" si="72"/>
        <v>0</v>
      </c>
      <c r="I369" s="20" t="str">
        <f t="shared" si="73"/>
        <v/>
      </c>
      <c r="J369" s="94" t="str">
        <f t="shared" si="70"/>
        <v/>
      </c>
      <c r="K369" s="20" t="str">
        <f t="shared" si="74"/>
        <v/>
      </c>
      <c r="L369" s="94" t="str">
        <f t="shared" si="75"/>
        <v/>
      </c>
      <c r="M369" s="84" t="str">
        <f t="shared" si="76"/>
        <v/>
      </c>
      <c r="O369" s="36" t="str">
        <f t="shared" si="77"/>
        <v/>
      </c>
      <c r="P369" s="27" t="str">
        <f t="shared" si="78"/>
        <v/>
      </c>
      <c r="Q369" s="30" t="str">
        <f t="shared" si="79"/>
        <v/>
      </c>
      <c r="R369" s="19"/>
      <c r="S369" s="19" t="str">
        <f t="shared" si="80"/>
        <v/>
      </c>
      <c r="T369" s="19" t="str">
        <f t="shared" si="81"/>
        <v/>
      </c>
      <c r="U369" s="57" t="str">
        <f t="shared" si="82"/>
        <v/>
      </c>
      <c r="V369" s="57" t="str">
        <f t="shared" si="83"/>
        <v/>
      </c>
      <c r="W369" s="63" t="str">
        <f>IF(U369="","",IF(T370="",P$4-SUM(W$14:W368),IF((YEAR(O369)*1000+MONTH(O369))&gt;=P$9,IF((YEAR(O369)*1000+MONTH(O369))=P$9,ROUND(U369,0),ROUND(T369,0)),"")))</f>
        <v/>
      </c>
      <c r="X369" s="59" t="str">
        <f>IF(S$10="","",IF(P369&lt;=S$10,IF(P369=S$10,P$4-SUM(W$14:W368),W369),""))</f>
        <v/>
      </c>
    </row>
    <row r="370" spans="3:24" ht="15" hidden="1" customHeight="1" outlineLevel="1" x14ac:dyDescent="0.45">
      <c r="C370" s="124"/>
      <c r="D370" s="105"/>
      <c r="E370" s="131"/>
      <c r="F370" s="71"/>
      <c r="G370" s="78" t="str">
        <f t="shared" si="71"/>
        <v/>
      </c>
      <c r="H370" s="3">
        <f t="shared" si="72"/>
        <v>0</v>
      </c>
      <c r="I370" s="20" t="str">
        <f t="shared" si="73"/>
        <v/>
      </c>
      <c r="J370" s="94" t="str">
        <f t="shared" si="70"/>
        <v/>
      </c>
      <c r="K370" s="20" t="str">
        <f t="shared" si="74"/>
        <v/>
      </c>
      <c r="L370" s="94" t="str">
        <f t="shared" si="75"/>
        <v/>
      </c>
      <c r="M370" s="84" t="str">
        <f t="shared" si="76"/>
        <v/>
      </c>
      <c r="O370" s="36" t="str">
        <f t="shared" si="77"/>
        <v/>
      </c>
      <c r="P370" s="27" t="str">
        <f t="shared" si="78"/>
        <v/>
      </c>
      <c r="Q370" s="30" t="str">
        <f t="shared" si="79"/>
        <v/>
      </c>
      <c r="R370" s="19"/>
      <c r="S370" s="19" t="str">
        <f t="shared" si="80"/>
        <v/>
      </c>
      <c r="T370" s="19" t="str">
        <f t="shared" si="81"/>
        <v/>
      </c>
      <c r="U370" s="57" t="str">
        <f t="shared" si="82"/>
        <v/>
      </c>
      <c r="V370" s="57" t="str">
        <f t="shared" si="83"/>
        <v/>
      </c>
      <c r="W370" s="63" t="str">
        <f>IF(U370="","",IF(T371="",P$4-SUM(W$14:W369),IF((YEAR(O370)*1000+MONTH(O370))&gt;=P$9,IF((YEAR(O370)*1000+MONTH(O370))=P$9,ROUND(U370,0),ROUND(T370,0)),"")))</f>
        <v/>
      </c>
      <c r="X370" s="59" t="str">
        <f>IF(S$10="","",IF(P370&lt;=S$10,IF(P370=S$10,P$4-SUM(W$14:W369),W370),""))</f>
        <v/>
      </c>
    </row>
    <row r="371" spans="3:24" ht="15" hidden="1" customHeight="1" outlineLevel="1" x14ac:dyDescent="0.45">
      <c r="C371" s="124"/>
      <c r="D371" s="105"/>
      <c r="E371" s="131"/>
      <c r="F371" s="71"/>
      <c r="G371" s="78" t="str">
        <f t="shared" si="71"/>
        <v/>
      </c>
      <c r="H371" s="3">
        <f t="shared" si="72"/>
        <v>0</v>
      </c>
      <c r="I371" s="20" t="str">
        <f t="shared" si="73"/>
        <v/>
      </c>
      <c r="J371" s="94" t="str">
        <f t="shared" si="70"/>
        <v/>
      </c>
      <c r="K371" s="20" t="str">
        <f t="shared" si="74"/>
        <v/>
      </c>
      <c r="L371" s="94" t="str">
        <f t="shared" si="75"/>
        <v/>
      </c>
      <c r="M371" s="84" t="str">
        <f t="shared" si="76"/>
        <v/>
      </c>
      <c r="O371" s="36" t="str">
        <f t="shared" si="77"/>
        <v/>
      </c>
      <c r="P371" s="27" t="str">
        <f t="shared" si="78"/>
        <v/>
      </c>
      <c r="Q371" s="30" t="str">
        <f t="shared" si="79"/>
        <v/>
      </c>
      <c r="R371" s="19"/>
      <c r="S371" s="19" t="str">
        <f t="shared" si="80"/>
        <v/>
      </c>
      <c r="T371" s="19" t="str">
        <f t="shared" si="81"/>
        <v/>
      </c>
      <c r="U371" s="57" t="str">
        <f t="shared" si="82"/>
        <v/>
      </c>
      <c r="V371" s="57" t="str">
        <f t="shared" si="83"/>
        <v/>
      </c>
      <c r="W371" s="63" t="str">
        <f>IF(U371="","",IF(T372="",P$4-SUM(W$14:W370),IF((YEAR(O371)*1000+MONTH(O371))&gt;=P$9,IF((YEAR(O371)*1000+MONTH(O371))=P$9,ROUND(U371,0),ROUND(T371,0)),"")))</f>
        <v/>
      </c>
      <c r="X371" s="59" t="str">
        <f>IF(S$10="","",IF(P371&lt;=S$10,IF(P371=S$10,P$4-SUM(W$14:W370),W371),""))</f>
        <v/>
      </c>
    </row>
    <row r="372" spans="3:24" ht="15" hidden="1" customHeight="1" outlineLevel="1" x14ac:dyDescent="0.45">
      <c r="C372" s="124"/>
      <c r="D372" s="105"/>
      <c r="E372" s="131"/>
      <c r="F372" s="71"/>
      <c r="G372" s="78" t="str">
        <f t="shared" si="71"/>
        <v/>
      </c>
      <c r="H372" s="3">
        <f t="shared" si="72"/>
        <v>0</v>
      </c>
      <c r="I372" s="20" t="str">
        <f t="shared" si="73"/>
        <v/>
      </c>
      <c r="J372" s="94" t="str">
        <f t="shared" si="70"/>
        <v/>
      </c>
      <c r="K372" s="20" t="str">
        <f t="shared" si="74"/>
        <v/>
      </c>
      <c r="L372" s="94" t="str">
        <f t="shared" si="75"/>
        <v/>
      </c>
      <c r="M372" s="84" t="str">
        <f t="shared" si="76"/>
        <v/>
      </c>
      <c r="O372" s="36" t="str">
        <f t="shared" si="77"/>
        <v/>
      </c>
      <c r="P372" s="27" t="str">
        <f t="shared" si="78"/>
        <v/>
      </c>
      <c r="Q372" s="30" t="str">
        <f t="shared" si="79"/>
        <v/>
      </c>
      <c r="R372" s="19"/>
      <c r="S372" s="19" t="str">
        <f t="shared" si="80"/>
        <v/>
      </c>
      <c r="T372" s="19" t="str">
        <f t="shared" si="81"/>
        <v/>
      </c>
      <c r="U372" s="57" t="str">
        <f t="shared" si="82"/>
        <v/>
      </c>
      <c r="V372" s="57" t="str">
        <f t="shared" si="83"/>
        <v/>
      </c>
      <c r="W372" s="63" t="str">
        <f>IF(U372="","",IF(T373="",P$4-SUM(W$14:W371),IF((YEAR(O372)*1000+MONTH(O372))&gt;=P$9,IF((YEAR(O372)*1000+MONTH(O372))=P$9,ROUND(U372,0),ROUND(T372,0)),"")))</f>
        <v/>
      </c>
      <c r="X372" s="59" t="str">
        <f>IF(S$10="","",IF(P372&lt;=S$10,IF(P372=S$10,P$4-SUM(W$14:W371),W372),""))</f>
        <v/>
      </c>
    </row>
    <row r="373" spans="3:24" ht="15" hidden="1" customHeight="1" outlineLevel="1" x14ac:dyDescent="0.45">
      <c r="C373" s="124"/>
      <c r="D373" s="105"/>
      <c r="E373" s="131"/>
      <c r="F373" s="71"/>
      <c r="G373" s="78" t="str">
        <f t="shared" si="71"/>
        <v/>
      </c>
      <c r="H373" s="3">
        <f t="shared" si="72"/>
        <v>0</v>
      </c>
      <c r="I373" s="20" t="str">
        <f t="shared" si="73"/>
        <v/>
      </c>
      <c r="J373" s="94" t="str">
        <f t="shared" si="70"/>
        <v/>
      </c>
      <c r="K373" s="20" t="str">
        <f t="shared" si="74"/>
        <v/>
      </c>
      <c r="L373" s="94" t="str">
        <f t="shared" si="75"/>
        <v/>
      </c>
      <c r="M373" s="84" t="str">
        <f t="shared" si="76"/>
        <v/>
      </c>
      <c r="O373" s="36" t="str">
        <f t="shared" si="77"/>
        <v/>
      </c>
      <c r="P373" s="27" t="str">
        <f t="shared" si="78"/>
        <v/>
      </c>
      <c r="Q373" s="30" t="str">
        <f t="shared" si="79"/>
        <v/>
      </c>
      <c r="R373" s="19"/>
      <c r="S373" s="19" t="str">
        <f t="shared" si="80"/>
        <v/>
      </c>
      <c r="T373" s="19" t="str">
        <f t="shared" si="81"/>
        <v/>
      </c>
      <c r="U373" s="57" t="str">
        <f t="shared" si="82"/>
        <v/>
      </c>
      <c r="V373" s="57" t="str">
        <f t="shared" si="83"/>
        <v/>
      </c>
      <c r="W373" s="63" t="str">
        <f>IF(U373="","",IF(T374="",P$4-SUM(W$14:W372),IF((YEAR(O373)*1000+MONTH(O373))&gt;=P$9,IF((YEAR(O373)*1000+MONTH(O373))=P$9,ROUND(U373,0),ROUND(T373,0)),"")))</f>
        <v/>
      </c>
      <c r="X373" s="59" t="str">
        <f>IF(S$10="","",IF(P373&lt;=S$10,IF(P373=S$10,P$4-SUM(W$14:W372),W373),""))</f>
        <v/>
      </c>
    </row>
    <row r="374" spans="3:24" ht="15" hidden="1" customHeight="1" outlineLevel="1" x14ac:dyDescent="0.45">
      <c r="C374" s="124"/>
      <c r="D374" s="105"/>
      <c r="E374" s="131"/>
      <c r="F374" s="71"/>
      <c r="G374" s="78" t="str">
        <f t="shared" si="71"/>
        <v/>
      </c>
      <c r="H374" s="3">
        <f t="shared" si="72"/>
        <v>0</v>
      </c>
      <c r="I374" s="20" t="str">
        <f t="shared" si="73"/>
        <v/>
      </c>
      <c r="J374" s="94" t="str">
        <f t="shared" si="70"/>
        <v/>
      </c>
      <c r="K374" s="20" t="str">
        <f t="shared" si="74"/>
        <v/>
      </c>
      <c r="L374" s="94" t="str">
        <f t="shared" si="75"/>
        <v/>
      </c>
      <c r="M374" s="84" t="str">
        <f t="shared" si="76"/>
        <v/>
      </c>
      <c r="O374" s="36" t="str">
        <f t="shared" si="77"/>
        <v/>
      </c>
      <c r="P374" s="27" t="str">
        <f t="shared" si="78"/>
        <v/>
      </c>
      <c r="Q374" s="30" t="str">
        <f>IF(P374&lt;&gt;"",IF(EOMONTH(O374,0)&lt;&gt;EOMONTH(P$8,0),DAY(EOMONTH(O374,0)-DAY(O374)+1)/DAY(EOMONTH(O374,0)),IF(DAY(EOMONTH(P$7,0))-DAY(P$7)+1+DAY(P$8)=DAY(EOMONTH(P$7,0)),1-Q$15,DAY(P$8)/DAY(EOMONTH(P$8,0)))),"")</f>
        <v/>
      </c>
      <c r="R374" s="19"/>
      <c r="S374" s="19" t="str">
        <f>IF(O374="","",IF(P374&lt;=S$10,IF(P374=S$10,R$15,-R374),""))</f>
        <v/>
      </c>
      <c r="T374" s="19" t="str">
        <f t="shared" si="81"/>
        <v/>
      </c>
      <c r="U374" s="57" t="str">
        <f t="shared" si="82"/>
        <v/>
      </c>
      <c r="V374" s="57" t="str">
        <f t="shared" si="83"/>
        <v/>
      </c>
      <c r="W374" s="63" t="str">
        <f>IF(U374="","",IF(T375="",P$4-SUM(W$14:W373),IF((YEAR(O374)*1000+MONTH(O374))&gt;=P$9,IF((YEAR(O374)*1000+MONTH(O374))=P$9,ROUND(U374,0),ROUND(T374,0)),"")))</f>
        <v/>
      </c>
      <c r="X374" s="59" t="str">
        <f>IF(S$10="","",IF(P374&lt;=S$10,IF(P374=S$10,P$4-SUM(W$14:W373),W374),""))</f>
        <v/>
      </c>
    </row>
    <row r="375" spans="3:24" ht="19.5" customHeight="1" collapsed="1" x14ac:dyDescent="0.45">
      <c r="C375" s="125"/>
      <c r="D375" s="107"/>
      <c r="E375" s="132"/>
      <c r="F375" s="64"/>
      <c r="G375" s="25"/>
      <c r="H375" s="3"/>
      <c r="I375" s="20"/>
      <c r="J375" s="94"/>
      <c r="K375" s="20"/>
      <c r="L375" s="94"/>
      <c r="M375" s="84"/>
      <c r="O375" s="37"/>
      <c r="P375" s="28"/>
      <c r="Q375" s="31"/>
      <c r="R375" s="45"/>
      <c r="S375" s="45"/>
      <c r="T375" s="17"/>
      <c r="U375" s="25"/>
      <c r="V375" s="25"/>
      <c r="W375" s="64"/>
      <c r="X375" s="60"/>
    </row>
    <row r="376" spans="3:24" ht="18.600000000000001" thickBot="1" x14ac:dyDescent="0.5">
      <c r="C376" s="126"/>
      <c r="D376" s="109"/>
      <c r="E376" s="133"/>
      <c r="F376" s="65">
        <f>SUM(F15:F375)</f>
        <v>0</v>
      </c>
      <c r="G376" s="73">
        <f>SUM(G15:G375)</f>
        <v>0</v>
      </c>
      <c r="H376" s="72"/>
      <c r="I376" s="113"/>
      <c r="J376" s="98"/>
      <c r="K376" s="113"/>
      <c r="L376" s="98">
        <f>SUM(L15:L375)</f>
        <v>0</v>
      </c>
      <c r="M376" s="128">
        <f>SUM(M15:M375)</f>
        <v>0</v>
      </c>
      <c r="O376" s="38"/>
      <c r="P376" s="66" t="s">
        <v>11</v>
      </c>
      <c r="Q376" s="39">
        <f>SUM(Q15:Q375)</f>
        <v>0</v>
      </c>
      <c r="R376" s="46"/>
      <c r="S376" s="46"/>
      <c r="T376" s="40">
        <f>SUM(T15:T375)</f>
        <v>0</v>
      </c>
      <c r="U376" s="58">
        <f>MAX(U15:U375)</f>
        <v>0</v>
      </c>
      <c r="V376" s="58">
        <f>MAX($V$15:$V$374)+SUMIF($V$15:$V$374,"&lt;0")</f>
        <v>0</v>
      </c>
      <c r="W376" s="65">
        <f>SUM(W15:W375)</f>
        <v>0</v>
      </c>
      <c r="X376" s="61">
        <f>SUM(X15:X375)</f>
        <v>0</v>
      </c>
    </row>
    <row r="377" spans="3:24" ht="18.600000000000001" thickBot="1" x14ac:dyDescent="0.5">
      <c r="C377" s="134">
        <f>+C376</f>
        <v>0</v>
      </c>
      <c r="D377" s="134">
        <f>SUMIF(D15:D375,"&gt;0")</f>
        <v>0</v>
      </c>
      <c r="H377" s="134">
        <f>+H376</f>
        <v>0</v>
      </c>
      <c r="I377" s="134">
        <f>SUMIF(I15:I375,"&lt;0")</f>
        <v>0</v>
      </c>
    </row>
  </sheetData>
  <mergeCells count="6">
    <mergeCell ref="C12:G12"/>
    <mergeCell ref="H12:M12"/>
    <mergeCell ref="Q5:S5"/>
    <mergeCell ref="W13:X13"/>
    <mergeCell ref="Q10:R10"/>
    <mergeCell ref="Q11:R11"/>
  </mergeCells>
  <pageMargins left="0.7" right="0.7" top="0.75" bottom="0.75" header="0.3" footer="0.3"/>
  <pageSetup paperSize="9" orientation="portrait" r:id="rId1"/>
  <ignoredErrors>
    <ignoredError sqref="H16:I16 J15:J374 L15:L374 G16 K1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Asset Summary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Ajit Singh</dc:creator>
  <cp:lastModifiedBy>Ajit Singh</cp:lastModifiedBy>
  <dcterms:created xsi:type="dcterms:W3CDTF">2018-09-24T09:44:19Z</dcterms:created>
  <dcterms:modified xsi:type="dcterms:W3CDTF">2021-06-09T10:45:03Z</dcterms:modified>
</cp:coreProperties>
</file>